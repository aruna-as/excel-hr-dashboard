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mman\Desktop\besanth\"/>
    </mc:Choice>
  </mc:AlternateContent>
  <xr:revisionPtr revIDLastSave="0" documentId="13_ncr:1_{29AAC5B9-07A4-4E7B-9A3E-C8A02790B03E}" xr6:coauthVersionLast="47" xr6:coauthVersionMax="47" xr10:uidLastSave="{00000000-0000-0000-0000-000000000000}"/>
  <bookViews>
    <workbookView xWindow="1110" yWindow="0" windowWidth="19380" windowHeight="11520" activeTab="4" xr2:uid="{00000000-000D-0000-FFFF-FFFF00000000}"/>
  </bookViews>
  <sheets>
    <sheet name="DASHBOARD" sheetId="2" r:id="rId1"/>
    <sheet name="CALCULATION 1" sheetId="3" r:id="rId2"/>
    <sheet name="CALCULATION 2" sheetId="4" r:id="rId3"/>
    <sheet name="CALCULATION 0" sheetId="5" r:id="rId4"/>
    <sheet name="Data" sheetId="1" r:id="rId5"/>
  </sheets>
  <definedNames>
    <definedName name="_xlcn.WorksheetConnection_ExitData.xlsxTable11" hidden="1">Exit_Data[]</definedName>
    <definedName name="Slicer_Department">#N/A</definedName>
    <definedName name="Slicer_Grade">#N/A</definedName>
  </definedNames>
  <calcPr calcId="191028"/>
  <pivotCaches>
    <pivotCache cacheId="0" r:id="rId6"/>
    <pivotCache cacheId="1" r:id="rId7"/>
    <pivotCache cacheId="2" r:id="rId8"/>
    <pivotCache cacheId="3" r:id="rId9"/>
    <pivotCache cacheId="4" r:id="rId10"/>
    <pivotCache cacheId="5" r:id="rId11"/>
    <pivotCache cacheId="6" r:id="rId12"/>
  </pivotCaches>
  <extLst>
    <ext xmlns:x14="http://schemas.microsoft.com/office/spreadsheetml/2009/9/main" uri="{876F7934-8845-4945-9796-88D515C7AA90}">
      <x14:pivotCaches>
        <pivotCache cacheId="7"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Exit Data.xlsx!Table1"/>
          <x15:modelTable id="Calendar1" name="Calendar1" connection="Connection1"/>
          <x15:modelTable id="Calendar" name="Calendar" connection="Connection"/>
        </x15:modelTables>
        <x15:modelRelationships>
          <x15:modelRelationship fromTable="Table1" fromColumn="Exit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1" i="2" l="1"/>
  <c r="J1" i="2"/>
  <c r="H1" i="2"/>
  <c r="F1" i="2"/>
  <c r="B8" i="5"/>
  <c r="B9" i="5" s="1"/>
  <c r="N1" i="2" l="1"/>
  <c r="M3" i="1"/>
  <c r="N3" i="1" s="1"/>
  <c r="M4" i="1"/>
  <c r="N4" i="1" s="1"/>
  <c r="M5" i="1"/>
  <c r="N5" i="1" s="1"/>
  <c r="M6" i="1"/>
  <c r="N6" i="1" s="1"/>
  <c r="M7" i="1"/>
  <c r="N7" i="1" s="1"/>
  <c r="M8" i="1"/>
  <c r="N8" i="1" s="1"/>
  <c r="M9" i="1"/>
  <c r="N9" i="1" s="1"/>
  <c r="M10" i="1"/>
  <c r="N10" i="1" s="1"/>
  <c r="M11" i="1"/>
  <c r="N11" i="1" s="1"/>
  <c r="M12" i="1"/>
  <c r="N12" i="1" s="1"/>
  <c r="M13" i="1"/>
  <c r="N13" i="1" s="1"/>
  <c r="M14" i="1"/>
  <c r="N14" i="1" s="1"/>
  <c r="M15" i="1"/>
  <c r="N15" i="1" s="1"/>
  <c r="M16" i="1"/>
  <c r="N16" i="1" s="1"/>
  <c r="M17" i="1"/>
  <c r="N17" i="1" s="1"/>
  <c r="M18" i="1"/>
  <c r="N18" i="1" s="1"/>
  <c r="M19" i="1"/>
  <c r="N19" i="1" s="1"/>
  <c r="M20" i="1"/>
  <c r="N20" i="1" s="1"/>
  <c r="M21" i="1"/>
  <c r="N21" i="1" s="1"/>
  <c r="M22" i="1"/>
  <c r="N22" i="1" s="1"/>
  <c r="M23" i="1"/>
  <c r="N23" i="1" s="1"/>
  <c r="M24" i="1"/>
  <c r="N24" i="1" s="1"/>
  <c r="M25" i="1"/>
  <c r="N25" i="1" s="1"/>
  <c r="M26" i="1"/>
  <c r="N26" i="1" s="1"/>
  <c r="M27" i="1"/>
  <c r="N27" i="1" s="1"/>
  <c r="M28" i="1"/>
  <c r="N28" i="1" s="1"/>
  <c r="M29" i="1"/>
  <c r="N29" i="1" s="1"/>
  <c r="M30" i="1"/>
  <c r="N30" i="1" s="1"/>
  <c r="M31" i="1"/>
  <c r="N31" i="1" s="1"/>
  <c r="M32" i="1"/>
  <c r="N32" i="1" s="1"/>
  <c r="M33" i="1"/>
  <c r="N33" i="1" s="1"/>
  <c r="M34" i="1"/>
  <c r="N34" i="1" s="1"/>
  <c r="M35" i="1"/>
  <c r="N35" i="1" s="1"/>
  <c r="M36" i="1"/>
  <c r="N36" i="1" s="1"/>
  <c r="M37" i="1"/>
  <c r="N37" i="1" s="1"/>
  <c r="M38" i="1"/>
  <c r="N38" i="1" s="1"/>
  <c r="M39" i="1"/>
  <c r="N39" i="1" s="1"/>
  <c r="M40" i="1"/>
  <c r="N40" i="1" s="1"/>
  <c r="M41" i="1"/>
  <c r="N41" i="1" s="1"/>
  <c r="M42" i="1"/>
  <c r="N42" i="1" s="1"/>
  <c r="M43" i="1"/>
  <c r="N43" i="1" s="1"/>
  <c r="M44" i="1"/>
  <c r="N44" i="1" s="1"/>
  <c r="M45" i="1"/>
  <c r="N45" i="1" s="1"/>
  <c r="M46" i="1"/>
  <c r="N46" i="1" s="1"/>
  <c r="M47" i="1"/>
  <c r="N47" i="1" s="1"/>
  <c r="M48" i="1"/>
  <c r="N48" i="1" s="1"/>
  <c r="M49" i="1"/>
  <c r="N49" i="1" s="1"/>
  <c r="M50" i="1"/>
  <c r="N50" i="1" s="1"/>
  <c r="M51" i="1"/>
  <c r="N51" i="1" s="1"/>
  <c r="M52" i="1"/>
  <c r="N52" i="1" s="1"/>
  <c r="M53" i="1"/>
  <c r="N53" i="1" s="1"/>
  <c r="M54" i="1"/>
  <c r="N54" i="1" s="1"/>
  <c r="M55" i="1"/>
  <c r="N55" i="1" s="1"/>
  <c r="M56" i="1"/>
  <c r="N56" i="1" s="1"/>
  <c r="M57" i="1"/>
  <c r="N57" i="1" s="1"/>
  <c r="M58" i="1"/>
  <c r="N58" i="1" s="1"/>
  <c r="M59" i="1"/>
  <c r="N59" i="1" s="1"/>
  <c r="M60" i="1"/>
  <c r="N60" i="1" s="1"/>
  <c r="M61" i="1"/>
  <c r="N61" i="1" s="1"/>
  <c r="M62" i="1"/>
  <c r="N62" i="1" s="1"/>
  <c r="M63" i="1"/>
  <c r="N63" i="1" s="1"/>
  <c r="M64" i="1"/>
  <c r="N64" i="1" s="1"/>
  <c r="M65" i="1"/>
  <c r="N65" i="1" s="1"/>
  <c r="M66" i="1"/>
  <c r="N66" i="1" s="1"/>
  <c r="M67" i="1"/>
  <c r="N67" i="1" s="1"/>
  <c r="M68" i="1"/>
  <c r="N68" i="1" s="1"/>
  <c r="M69" i="1"/>
  <c r="N69" i="1" s="1"/>
  <c r="M70" i="1"/>
  <c r="N70" i="1" s="1"/>
  <c r="M71" i="1"/>
  <c r="N71" i="1" s="1"/>
  <c r="M72" i="1"/>
  <c r="N72" i="1" s="1"/>
  <c r="M73" i="1"/>
  <c r="N73" i="1" s="1"/>
  <c r="M74" i="1"/>
  <c r="N74" i="1" s="1"/>
  <c r="M75" i="1"/>
  <c r="N75" i="1" s="1"/>
  <c r="M76" i="1"/>
  <c r="N76" i="1" s="1"/>
  <c r="M77" i="1"/>
  <c r="N77" i="1" s="1"/>
  <c r="M78" i="1"/>
  <c r="N78" i="1" s="1"/>
  <c r="M79" i="1"/>
  <c r="N79" i="1" s="1"/>
  <c r="M80" i="1"/>
  <c r="N80" i="1" s="1"/>
  <c r="M81" i="1"/>
  <c r="N81" i="1" s="1"/>
  <c r="M82" i="1"/>
  <c r="N82" i="1" s="1"/>
  <c r="M83" i="1"/>
  <c r="N83" i="1" s="1"/>
  <c r="M84" i="1"/>
  <c r="N84" i="1" s="1"/>
  <c r="M85" i="1"/>
  <c r="N85" i="1" s="1"/>
  <c r="M86" i="1"/>
  <c r="N86" i="1" s="1"/>
  <c r="M87" i="1"/>
  <c r="N87" i="1" s="1"/>
  <c r="M88" i="1"/>
  <c r="N88" i="1" s="1"/>
  <c r="M89" i="1"/>
  <c r="N89" i="1" s="1"/>
  <c r="M90" i="1"/>
  <c r="N90" i="1" s="1"/>
  <c r="M91" i="1"/>
  <c r="N91" i="1" s="1"/>
  <c r="M92" i="1"/>
  <c r="N92" i="1" s="1"/>
  <c r="M93" i="1"/>
  <c r="N93" i="1" s="1"/>
  <c r="M94" i="1"/>
  <c r="N94" i="1" s="1"/>
  <c r="M95" i="1"/>
  <c r="N95" i="1" s="1"/>
  <c r="M96" i="1"/>
  <c r="N96" i="1" s="1"/>
  <c r="M97" i="1"/>
  <c r="N97" i="1" s="1"/>
  <c r="M98" i="1"/>
  <c r="N98" i="1" s="1"/>
  <c r="M99" i="1"/>
  <c r="N99" i="1" s="1"/>
  <c r="M100" i="1"/>
  <c r="N100" i="1" s="1"/>
  <c r="M101" i="1"/>
  <c r="N101" i="1" s="1"/>
  <c r="M102" i="1"/>
  <c r="N102" i="1" s="1"/>
  <c r="M103" i="1"/>
  <c r="N103" i="1" s="1"/>
  <c r="M104" i="1"/>
  <c r="N104" i="1" s="1"/>
  <c r="M105" i="1"/>
  <c r="N105" i="1" s="1"/>
  <c r="M106" i="1"/>
  <c r="N106" i="1" s="1"/>
  <c r="M107" i="1"/>
  <c r="N107" i="1" s="1"/>
  <c r="M108" i="1"/>
  <c r="N108" i="1" s="1"/>
  <c r="M109" i="1"/>
  <c r="N109" i="1" s="1"/>
  <c r="M110" i="1"/>
  <c r="N110" i="1" s="1"/>
  <c r="M111" i="1"/>
  <c r="N111" i="1" s="1"/>
  <c r="M112" i="1"/>
  <c r="N112" i="1" s="1"/>
  <c r="M113" i="1"/>
  <c r="N113" i="1" s="1"/>
  <c r="M114" i="1"/>
  <c r="N114" i="1" s="1"/>
  <c r="M115" i="1"/>
  <c r="N115" i="1" s="1"/>
  <c r="M116" i="1"/>
  <c r="N116" i="1" s="1"/>
  <c r="M117" i="1"/>
  <c r="N117" i="1" s="1"/>
  <c r="M2" i="1"/>
  <c r="N2" i="1" s="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3" i="1"/>
  <c r="G4" i="1"/>
  <c r="G5" i="1"/>
  <c r="G6" i="1"/>
  <c r="G7" i="1"/>
  <c r="G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4200E1-61BB-45D1-ADF1-4056F9F0CD3D}" name="Connection" type="104" refreshedVersion="0" background="1">
    <extLst>
      <ext xmlns:x15="http://schemas.microsoft.com/office/spreadsheetml/2010/11/main" uri="{DE250136-89BD-433C-8126-D09CA5730AF9}">
        <x15:connection id="Calendar"/>
      </ext>
    </extLst>
  </connection>
  <connection id="2" xr16:uid="{825222FC-E908-4A35-998A-BAF7D6B80A89}" name="Connection1" type="104" refreshedVersion="0" background="1">
    <extLst>
      <ext xmlns:x15="http://schemas.microsoft.com/office/spreadsheetml/2010/11/main" uri="{DE250136-89BD-433C-8126-D09CA5730AF9}">
        <x15:connection id="Calendar1"/>
      </ext>
    </extLst>
  </connection>
  <connection id="3" xr16:uid="{5FDD6207-A0BF-4990-B17A-FF3D21282301}"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249F238B-A8CB-4BBC-915B-881A9D46E84C}" name="WorksheetConnection_Exit Data.xlsx!Table1" type="102" refreshedVersion="7" minRefreshableVersion="5">
    <extLst>
      <ext xmlns:x15="http://schemas.microsoft.com/office/spreadsheetml/2010/11/main" uri="{DE250136-89BD-433C-8126-D09CA5730AF9}">
        <x15:connection id="Table1" autoDelete="1">
          <x15:rangePr sourceName="_xlcn.WorksheetConnection_ExitData.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5">
    <s v="ThisWorkbookDataModel"/>
    <s v="{[Table1].[Status].&amp;[Active]}"/>
    <s v="{[Table1].[Status].&amp;[Inactive]}"/>
    <s v="{[Table1].[Exit Type].&amp;[Involuntary]}"/>
    <s v="{[Table1].[Exit Type].&amp;[Voluntary]}"/>
  </metadataStrings>
  <mdxMetadata count="4">
    <mdx n="0" f="s">
      <ms ns="1" c="0"/>
    </mdx>
    <mdx n="0" f="s">
      <ms ns="2" c="0"/>
    </mdx>
    <mdx n="0" f="s">
      <ms ns="3" c="0"/>
    </mdx>
    <mdx n="0" f="s">
      <ms ns="4" c="0"/>
    </mdx>
  </mdxMetadata>
  <valueMetadata count="4">
    <bk>
      <rc t="1" v="0"/>
    </bk>
    <bk>
      <rc t="1" v="1"/>
    </bk>
    <bk>
      <rc t="1" v="2"/>
    </bk>
    <bk>
      <rc t="1" v="3"/>
    </bk>
  </valueMetadata>
</metadata>
</file>

<file path=xl/sharedStrings.xml><?xml version="1.0" encoding="utf-8"?>
<sst xmlns="http://schemas.openxmlformats.org/spreadsheetml/2006/main" count="692" uniqueCount="186">
  <si>
    <t>Sr.No</t>
  </si>
  <si>
    <t>Employee Code</t>
  </si>
  <si>
    <t>Employee Name</t>
  </si>
  <si>
    <t>Gender</t>
  </si>
  <si>
    <t>Grade</t>
  </si>
  <si>
    <t>Department</t>
  </si>
  <si>
    <t>Status</t>
  </si>
  <si>
    <t>DOJ</t>
  </si>
  <si>
    <t>Exit Date</t>
  </si>
  <si>
    <t>Exit Type</t>
  </si>
  <si>
    <t>Exit Reason</t>
  </si>
  <si>
    <t>Manager Name</t>
  </si>
  <si>
    <t>Tenure</t>
  </si>
  <si>
    <t>Tenure Group</t>
  </si>
  <si>
    <t>Jack McFarland</t>
  </si>
  <si>
    <t>M</t>
  </si>
  <si>
    <t>G5</t>
  </si>
  <si>
    <t>Marketing</t>
  </si>
  <si>
    <t>Emily Cooper</t>
  </si>
  <si>
    <t>Rose Nylund</t>
  </si>
  <si>
    <t>F</t>
  </si>
  <si>
    <t>G4</t>
  </si>
  <si>
    <t>Sales</t>
  </si>
  <si>
    <t>Kate Sharma</t>
  </si>
  <si>
    <t>Parth Josh</t>
  </si>
  <si>
    <t>Finance</t>
  </si>
  <si>
    <t>Anthony Bridgerton</t>
  </si>
  <si>
    <t>Olivia Pope</t>
  </si>
  <si>
    <t>IT</t>
  </si>
  <si>
    <t>Wally Clark</t>
  </si>
  <si>
    <t>Walter White</t>
  </si>
  <si>
    <t>Prafulla Sohoni</t>
  </si>
  <si>
    <t>G3</t>
  </si>
  <si>
    <t>Jessica Fletcher</t>
  </si>
  <si>
    <t>Voluntary</t>
  </si>
  <si>
    <t>Health Reasons</t>
  </si>
  <si>
    <t>Camille Razat</t>
  </si>
  <si>
    <t>Jack Tripper</t>
  </si>
  <si>
    <t>Relocation</t>
  </si>
  <si>
    <t>Sam Malone</t>
  </si>
  <si>
    <t>Elaine Benes</t>
  </si>
  <si>
    <t>G2</t>
  </si>
  <si>
    <t>Involuntary</t>
  </si>
  <si>
    <t>Performance</t>
  </si>
  <si>
    <t>Omar Little</t>
  </si>
  <si>
    <t>Archie Bunker</t>
  </si>
  <si>
    <t>Mary Ann Summers</t>
  </si>
  <si>
    <t>Leslie Knope</t>
  </si>
  <si>
    <t>Dexter Morgan</t>
  </si>
  <si>
    <t>G1</t>
  </si>
  <si>
    <t>Miranda Bailey</t>
  </si>
  <si>
    <t>Simon Elroy</t>
  </si>
  <si>
    <t>Michael Scott</t>
  </si>
  <si>
    <t>Marcia Brad</t>
  </si>
  <si>
    <t>Lucy Ricardo</t>
  </si>
  <si>
    <t>Missy Cooper</t>
  </si>
  <si>
    <t>Connie Tucker</t>
  </si>
  <si>
    <t>Margo Banks</t>
  </si>
  <si>
    <t>John Sturgis</t>
  </si>
  <si>
    <t>Mindy Chen</t>
  </si>
  <si>
    <t>Rachel Green</t>
  </si>
  <si>
    <t>Monica Geller</t>
  </si>
  <si>
    <t>Sylvie Grateau</t>
  </si>
  <si>
    <t>Phoebe Buffay</t>
  </si>
  <si>
    <t>Joey Tribbiani</t>
  </si>
  <si>
    <t>Chandler Bing</t>
  </si>
  <si>
    <t>Ross Geller</t>
  </si>
  <si>
    <t>Gunther</t>
  </si>
  <si>
    <t>Janice</t>
  </si>
  <si>
    <t>Mike Hannigan</t>
  </si>
  <si>
    <t>Richard Burke</t>
  </si>
  <si>
    <t>Ted Mosby</t>
  </si>
  <si>
    <t>Better Opportunity</t>
  </si>
  <si>
    <t>Robin Scherbatsky</t>
  </si>
  <si>
    <t>Marshall Eriksen</t>
  </si>
  <si>
    <t>Lily Aldrin</t>
  </si>
  <si>
    <t>Barney Stinson</t>
  </si>
  <si>
    <t>Stella Zinman</t>
  </si>
  <si>
    <t>Quinn Garvey</t>
  </si>
  <si>
    <t>sales</t>
  </si>
  <si>
    <t>Harvey Specter</t>
  </si>
  <si>
    <t>Mike Ross</t>
  </si>
  <si>
    <t>Louis Litt</t>
  </si>
  <si>
    <t>Donna Paulsen</t>
  </si>
  <si>
    <t>Jessica Pearson</t>
  </si>
  <si>
    <t>Rachel Zane</t>
  </si>
  <si>
    <t>Katrina Bennett</t>
  </si>
  <si>
    <t>Samantha Wheeler</t>
  </si>
  <si>
    <t>Robert Zane</t>
  </si>
  <si>
    <t>Benjamin</t>
  </si>
  <si>
    <t>Damini Rizvi Roy</t>
  </si>
  <si>
    <t>Anjana Menon</t>
  </si>
  <si>
    <t>Umang Singh</t>
  </si>
  <si>
    <t>Siddhi Patel</t>
  </si>
  <si>
    <t>Jeh Wadia</t>
  </si>
  <si>
    <t>Samara Kapoor</t>
  </si>
  <si>
    <t>Amit Mishra</t>
  </si>
  <si>
    <t>Pervesh Bharadwaj</t>
  </si>
  <si>
    <t>Kavya Arora</t>
  </si>
  <si>
    <t>Arjun Nair</t>
  </si>
  <si>
    <t>Lorelai Gilmore</t>
  </si>
  <si>
    <t>Rory Gilmore</t>
  </si>
  <si>
    <t>Luke Danes</t>
  </si>
  <si>
    <t>Emily Gilmore</t>
  </si>
  <si>
    <t>Richard Gilmore</t>
  </si>
  <si>
    <t>Sookie James</t>
  </si>
  <si>
    <t>Lane Kim</t>
  </si>
  <si>
    <t>Jess Mariano</t>
  </si>
  <si>
    <t>Dean Forester</t>
  </si>
  <si>
    <t>Rachel Berry</t>
  </si>
  <si>
    <t>Finn Hudson</t>
  </si>
  <si>
    <t>Kurt Hummel</t>
  </si>
  <si>
    <t>Mercedes Jones</t>
  </si>
  <si>
    <t>Santana Lopez</t>
  </si>
  <si>
    <t>Quinn Fabray</t>
  </si>
  <si>
    <t>Brittany S. Pierce</t>
  </si>
  <si>
    <t>Artie Abrams</t>
  </si>
  <si>
    <t>finance</t>
  </si>
  <si>
    <t>Noah Puckerman</t>
  </si>
  <si>
    <t>Sam Evans</t>
  </si>
  <si>
    <t>Jake Peralta</t>
  </si>
  <si>
    <t>Amy Santiago</t>
  </si>
  <si>
    <t>Raymond Holt</t>
  </si>
  <si>
    <t>Rosa Diaz</t>
  </si>
  <si>
    <t>Terry Jeffords</t>
  </si>
  <si>
    <t>Charles Boyle</t>
  </si>
  <si>
    <t>Gina Linetti</t>
  </si>
  <si>
    <t>Hitchcock</t>
  </si>
  <si>
    <t>Scully</t>
  </si>
  <si>
    <t>Conflict with Manager/Colleagues</t>
  </si>
  <si>
    <t>Doug Judy</t>
  </si>
  <si>
    <t>Eleven</t>
  </si>
  <si>
    <t>Mike Wheeler</t>
  </si>
  <si>
    <t>Dustin Henderson</t>
  </si>
  <si>
    <t>Lucas Sinclair</t>
  </si>
  <si>
    <t>Will Byers</t>
  </si>
  <si>
    <t>Max Mayfield</t>
  </si>
  <si>
    <t>Jim Hopper</t>
  </si>
  <si>
    <t>Joyce Byers</t>
  </si>
  <si>
    <t>Charles Nieuwendyk</t>
  </si>
  <si>
    <t>Emily</t>
  </si>
  <si>
    <t>Julie</t>
  </si>
  <si>
    <t>Didi</t>
  </si>
  <si>
    <t>Phil Dunphy</t>
  </si>
  <si>
    <t>Claire Dunphy</t>
  </si>
  <si>
    <t>Haley Dunphy</t>
  </si>
  <si>
    <t>Alex Dunphy</t>
  </si>
  <si>
    <t>Luke Dunphy</t>
  </si>
  <si>
    <t>Jay Pritchett</t>
  </si>
  <si>
    <t>Gloria Pritchett</t>
  </si>
  <si>
    <t>Manny Delgado</t>
  </si>
  <si>
    <t>Cameron Tucker</t>
  </si>
  <si>
    <t>Mitchell Pritchett</t>
  </si>
  <si>
    <t>Charlie Harper</t>
  </si>
  <si>
    <t>Alan Harper</t>
  </si>
  <si>
    <t>Jake Harper</t>
  </si>
  <si>
    <t>Walden Schmidt</t>
  </si>
  <si>
    <t>Evelyn Harper</t>
  </si>
  <si>
    <t>Berta</t>
  </si>
  <si>
    <t>ATTRITION DASHBOARD</t>
  </si>
  <si>
    <t>TOTAL EMP COUNT</t>
  </si>
  <si>
    <t>TOTAL EXIT</t>
  </si>
  <si>
    <t>VOLUNTARY EXIT</t>
  </si>
  <si>
    <t>INVOLUNTARY EXIT</t>
  </si>
  <si>
    <t>ATTRITION %</t>
  </si>
  <si>
    <t>Count of Employee Name</t>
  </si>
  <si>
    <t>Active</t>
  </si>
  <si>
    <t>Inactive</t>
  </si>
  <si>
    <t>HC AS ON 31 DEC-2024</t>
  </si>
  <si>
    <t>ACTIVE COUNT</t>
  </si>
  <si>
    <t>6 to 9 Yrs</t>
  </si>
  <si>
    <t>3 to 6 Yrs</t>
  </si>
  <si>
    <t>1 to 3 Yrs</t>
  </si>
  <si>
    <t>Row Labels</t>
  </si>
  <si>
    <t>Grand Total</t>
  </si>
  <si>
    <t>January</t>
  </si>
  <si>
    <t>February</t>
  </si>
  <si>
    <t>March</t>
  </si>
  <si>
    <t>April</t>
  </si>
  <si>
    <t>May</t>
  </si>
  <si>
    <t>June</t>
  </si>
  <si>
    <t>July</t>
  </si>
  <si>
    <t>September</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</si>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</sst>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0">
    <font>
      <sz val="11"/>
      <color theme="1"/>
      <name val="Calibri"/>
      <family val="2"/>
      <scheme val="minor"/>
    </font>
    <font>
      <sz val="11"/>
      <color theme="1"/>
      <name val="Calibri"/>
      <family val="2"/>
      <scheme val="minor"/>
    </font>
    <font>
      <b/>
      <sz val="11"/>
      <color rgb="FF000000"/>
      <name val="Calibri"/>
      <family val="2"/>
      <scheme val="minor"/>
    </font>
    <font>
      <sz val="11"/>
      <color rgb="FF000000"/>
      <name val="Calibri"/>
      <family val="2"/>
      <scheme val="minor"/>
    </font>
    <font>
      <sz val="11"/>
      <color rgb="FF000000"/>
      <name val="Aptos Narrow"/>
      <family val="2"/>
    </font>
    <font>
      <sz val="8"/>
      <name val="Calibri"/>
      <family val="2"/>
      <scheme val="minor"/>
    </font>
    <font>
      <b/>
      <sz val="11"/>
      <color theme="1"/>
      <name val="Calibri"/>
      <family val="2"/>
      <scheme val="minor"/>
    </font>
    <font>
      <b/>
      <sz val="11"/>
      <color rgb="FF003399"/>
      <name val="Calibri"/>
      <family val="2"/>
      <scheme val="minor"/>
    </font>
    <font>
      <b/>
      <sz val="22"/>
      <color rgb="FF003399"/>
      <name val="Calibri"/>
      <family val="2"/>
      <scheme val="minor"/>
    </font>
    <font>
      <b/>
      <sz val="14"/>
      <color rgb="FF003399"/>
      <name val="Calibri"/>
      <family val="2"/>
      <scheme val="minor"/>
    </font>
  </fonts>
  <fills count="4">
    <fill>
      <patternFill patternType="none"/>
    </fill>
    <fill>
      <patternFill patternType="gray125"/>
    </fill>
    <fill>
      <patternFill patternType="solid">
        <fgColor rgb="FFBDD7EE"/>
        <bgColor rgb="FF000000"/>
      </patternFill>
    </fill>
    <fill>
      <patternFill patternType="solid">
        <fgColor theme="4" tint="0.59999389629810485"/>
        <bgColor rgb="FF000000"/>
      </patternFill>
    </fill>
  </fills>
  <borders count="7">
    <border>
      <left/>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6">
    <xf numFmtId="0" fontId="0" fillId="0" borderId="0" xfId="0"/>
    <xf numFmtId="0" fontId="2" fillId="2" borderId="0" xfId="0" applyFont="1" applyFill="1"/>
    <xf numFmtId="0" fontId="3" fillId="0" borderId="0" xfId="0" applyFont="1" applyAlignment="1">
      <alignment horizontal="center"/>
    </xf>
    <xf numFmtId="0" fontId="3" fillId="0" borderId="0" xfId="0" applyFont="1"/>
    <xf numFmtId="0" fontId="4" fillId="0" borderId="0" xfId="0" applyFont="1"/>
    <xf numFmtId="15" fontId="0" fillId="0" borderId="0" xfId="0" applyNumberFormat="1"/>
    <xf numFmtId="164" fontId="0" fillId="0" borderId="0" xfId="0" applyNumberFormat="1"/>
    <xf numFmtId="165" fontId="0" fillId="0" borderId="0" xfId="1" applyNumberFormat="1" applyFont="1"/>
    <xf numFmtId="0" fontId="2" fillId="3" borderId="0" xfId="0" applyFont="1" applyFill="1"/>
    <xf numFmtId="0" fontId="0" fillId="0" borderId="0" xfId="0" pivotButton="1"/>
    <xf numFmtId="0" fontId="0" fillId="0" borderId="0" xfId="0" applyNumberFormat="1"/>
    <xf numFmtId="0" fontId="6" fillId="0" borderId="0" xfId="0" applyFont="1"/>
    <xf numFmtId="9" fontId="0" fillId="0" borderId="0" xfId="1" applyFont="1"/>
    <xf numFmtId="0" fontId="0" fillId="0" borderId="0" xfId="0" applyAlignment="1">
      <alignment horizontal="left"/>
    </xf>
    <xf numFmtId="0" fontId="0" fillId="0" borderId="0" xfId="0" applyAlignment="1">
      <alignment horizontal="left" indent="1"/>
    </xf>
    <xf numFmtId="0" fontId="7" fillId="0" borderId="0" xfId="0" applyFont="1" applyAlignment="1">
      <alignment horizontal="center"/>
    </xf>
    <xf numFmtId="0" fontId="9" fillId="0" borderId="4" xfId="0" applyFont="1" applyBorder="1" applyAlignment="1">
      <alignment horizontal="center"/>
    </xf>
    <xf numFmtId="0" fontId="9" fillId="0" borderId="5" xfId="0" applyFont="1" applyBorder="1" applyAlignment="1">
      <alignment horizontal="center"/>
    </xf>
    <xf numFmtId="0" fontId="9" fillId="0" borderId="6" xfId="0" applyFont="1" applyBorder="1" applyAlignment="1">
      <alignment horizontal="center"/>
    </xf>
    <xf numFmtId="0" fontId="8" fillId="0" borderId="4" xfId="0" applyFont="1" applyBorder="1" applyAlignment="1">
      <alignment horizontal="center"/>
    </xf>
    <xf numFmtId="0" fontId="8" fillId="0" borderId="5" xfId="0" applyFont="1" applyBorder="1" applyAlignment="1">
      <alignment horizontal="center"/>
    </xf>
    <xf numFmtId="0" fontId="8" fillId="0" borderId="6" xfId="0" applyFont="1" applyBorder="1" applyAlignment="1">
      <alignment horizontal="center"/>
    </xf>
    <xf numFmtId="0" fontId="9" fillId="0" borderId="1" xfId="0" applyFont="1" applyBorder="1" applyAlignment="1">
      <alignment horizontal="center"/>
    </xf>
    <xf numFmtId="0" fontId="9" fillId="0" borderId="3" xfId="0" applyFont="1" applyBorder="1" applyAlignment="1">
      <alignment horizontal="center"/>
    </xf>
    <xf numFmtId="0" fontId="9" fillId="0" borderId="2" xfId="0" applyFont="1" applyBorder="1" applyAlignment="1">
      <alignment horizontal="center"/>
    </xf>
    <xf numFmtId="9" fontId="9" fillId="0" borderId="1" xfId="0" applyNumberFormat="1" applyFont="1" applyBorder="1" applyAlignment="1">
      <alignment horizontal="center"/>
    </xf>
  </cellXfs>
  <cellStyles count="2">
    <cellStyle name="Normal" xfId="0" builtinId="0"/>
    <cellStyle name="Percent" xfId="1" builtinId="5"/>
  </cellStyles>
  <dxfs count="14">
    <dxf>
      <numFmt numFmtId="0" formatCode="General"/>
    </dxf>
    <dxf>
      <numFmt numFmtId="164" formatCode="0.0"/>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numFmt numFmtId="20" formatCode="dd/mmm/yy"/>
    </dxf>
    <dxf>
      <font>
        <b val="0"/>
        <i val="0"/>
        <strike val="0"/>
        <condense val="0"/>
        <extend val="0"/>
        <outline val="0"/>
        <shadow val="0"/>
        <u val="none"/>
        <vertAlign val="baseline"/>
        <sz val="11"/>
        <color rgb="FF000000"/>
        <name val="Calibri"/>
        <family val="2"/>
        <scheme val="minor"/>
      </font>
      <numFmt numFmtId="20" formatCode="dd/mmm/yy"/>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rgb="FF000000"/>
        <name val="Calibri"/>
        <family val="2"/>
        <scheme val="minor"/>
      </font>
      <fill>
        <patternFill patternType="solid">
          <fgColor rgb="FF000000"/>
          <bgColor rgb="FFBDD7EE"/>
        </patternFill>
      </fill>
    </dxf>
  </dxfs>
  <tableStyles count="0" defaultTableStyle="TableStyleMedium2" defaultPivotStyle="PivotStyleLight16"/>
  <colors>
    <mruColors>
      <color rgb="FF00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styles" Target="style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50" Type="http://schemas.openxmlformats.org/officeDocument/2006/relationships/customXml" Target="../customXml/item28.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7.xml"/><Relationship Id="rId11" Type="http://schemas.openxmlformats.org/officeDocument/2006/relationships/pivotCacheDefinition" Target="pivotCache/pivotCacheDefinition6.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3" Type="http://schemas.openxmlformats.org/officeDocument/2006/relationships/customXml" Target="../customXml/item31.xml"/><Relationship Id="rId5" Type="http://schemas.openxmlformats.org/officeDocument/2006/relationships/worksheet" Target="worksheets/sheet5.xml"/><Relationship Id="rId10" Type="http://schemas.openxmlformats.org/officeDocument/2006/relationships/pivotCacheDefinition" Target="pivotCache/pivotCacheDefinition5.xml"/><Relationship Id="rId19" Type="http://schemas.openxmlformats.org/officeDocument/2006/relationships/sharedStrings" Target="sharedStrings.xml"/><Relationship Id="rId31" Type="http://schemas.openxmlformats.org/officeDocument/2006/relationships/customXml" Target="../customXml/item9.xml"/><Relationship Id="rId44" Type="http://schemas.openxmlformats.org/officeDocument/2006/relationships/customXml" Target="../customXml/item22.xml"/><Relationship Id="rId52" Type="http://schemas.openxmlformats.org/officeDocument/2006/relationships/customXml" Target="../customXml/item30.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8" Type="http://schemas.openxmlformats.org/officeDocument/2006/relationships/pivotCacheDefinition" Target="pivotCache/pivotCacheDefinition3.xml"/><Relationship Id="rId51" Type="http://schemas.openxmlformats.org/officeDocument/2006/relationships/customXml" Target="../customXml/item29.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connections" Target="connection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heetMetadata" Target="metadata.xml"/><Relationship Id="rId41" Type="http://schemas.openxmlformats.org/officeDocument/2006/relationships/customXml" Target="../customXml/item19.xml"/><Relationship Id="rId54" Type="http://schemas.openxmlformats.org/officeDocument/2006/relationships/customXml" Target="../customXml/item3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microsoft.com/office/2007/relationships/slicerCache" Target="slicerCaches/slicerCache2.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49" Type="http://schemas.openxmlformats.org/officeDocument/2006/relationships/customXml" Target="../customXml/item2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FOR ATTRITION FINAL.xlsx]CALCULATION 0!TENUREDISTRIBUTION</c:name>
    <c:fmtId val="4"/>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TENURE WISE EXIT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'CALCULATION 0'!$B$15</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00C-4409-8C34-3FFE9C8889A2}"/>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00C-4409-8C34-3FFE9C8889A2}"/>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00C-4409-8C34-3FFE9C8889A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'CALCULATION 0'!$A$16:$A$19</c:f>
              <c:strCache>
                <c:ptCount val="3"/>
                <c:pt idx="0">
                  <c:v>1 to 3 Yrs</c:v>
                </c:pt>
                <c:pt idx="1">
                  <c:v>3 to 6 Yrs</c:v>
                </c:pt>
                <c:pt idx="2">
                  <c:v>6 to 9 Yrs</c:v>
                </c:pt>
              </c:strCache>
            </c:strRef>
          </c:cat>
          <c:val>
            <c:numRef>
              <c:f>'CALCULATION 0'!$B$16:$B$19</c:f>
              <c:numCache>
                <c:formatCode>General</c:formatCode>
                <c:ptCount val="3"/>
                <c:pt idx="0">
                  <c:v>5</c:v>
                </c:pt>
                <c:pt idx="1">
                  <c:v>7</c:v>
                </c:pt>
                <c:pt idx="2">
                  <c:v>3</c:v>
                </c:pt>
              </c:numCache>
            </c:numRef>
          </c:val>
          <c:extLst>
            <c:ext xmlns:c16="http://schemas.microsoft.com/office/drawing/2014/chart" uri="{C3380CC4-5D6E-409C-BE32-E72D297353CC}">
              <c16:uniqueId val="{00000006-000C-4409-8C34-3FFE9C8889A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FOR ATTRITION FINAL.xlsx]CALCULATION 0!EXITREASONS</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EXIT REASON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s>
    <c:plotArea>
      <c:layout/>
      <c:pieChart>
        <c:varyColors val="1"/>
        <c:ser>
          <c:idx val="0"/>
          <c:order val="0"/>
          <c:tx>
            <c:strRef>
              <c:f>'CALCULATION 0'!$E$15</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72E4-4B0B-9593-2349EF0F09C9}"/>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72E4-4B0B-9593-2349EF0F09C9}"/>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72E4-4B0B-9593-2349EF0F09C9}"/>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72E4-4B0B-9593-2349EF0F09C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'CALCULATION 0'!$D$16:$D$20</c:f>
              <c:strCache>
                <c:ptCount val="4"/>
                <c:pt idx="0">
                  <c:v>Better Opportunity</c:v>
                </c:pt>
                <c:pt idx="1">
                  <c:v>Conflict with Manager/Colleagues</c:v>
                </c:pt>
                <c:pt idx="2">
                  <c:v>Health Reasons</c:v>
                </c:pt>
                <c:pt idx="3">
                  <c:v>Relocation</c:v>
                </c:pt>
              </c:strCache>
            </c:strRef>
          </c:cat>
          <c:val>
            <c:numRef>
              <c:f>'CALCULATION 0'!$E$16:$E$20</c:f>
              <c:numCache>
                <c:formatCode>General</c:formatCode>
                <c:ptCount val="4"/>
                <c:pt idx="0">
                  <c:v>9</c:v>
                </c:pt>
                <c:pt idx="1">
                  <c:v>2</c:v>
                </c:pt>
                <c:pt idx="2">
                  <c:v>2</c:v>
                </c:pt>
                <c:pt idx="3">
                  <c:v>2</c:v>
                </c:pt>
              </c:numCache>
            </c:numRef>
          </c:val>
          <c:extLst>
            <c:ext xmlns:c16="http://schemas.microsoft.com/office/drawing/2014/chart" uri="{C3380CC4-5D6E-409C-BE32-E72D297353CC}">
              <c16:uniqueId val="{00000008-72E4-4B0B-9593-2349EF0F09C9}"/>
            </c:ext>
          </c:extLst>
        </c:ser>
        <c:dLbls>
          <c:dLblPos val="outEnd"/>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FOR ATTRITION FINAL.xlsx]CALCULATION 0!PivotTable14</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solidFill>
                  <a:srgbClr val="003399"/>
                </a:solidFill>
              </a:rPr>
              <a:t>MONTH WISE EXIT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44488188976382"/>
          <c:y val="0.14400444736074658"/>
          <c:w val="0.79577734033245839"/>
          <c:h val="0.55963764946048411"/>
        </c:manualLayout>
      </c:layout>
      <c:lineChart>
        <c:grouping val="standard"/>
        <c:varyColors val="0"/>
        <c:ser>
          <c:idx val="0"/>
          <c:order val="0"/>
          <c:tx>
            <c:strRef>
              <c:f>'CALCULATION 0'!$H$15</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'CALCULATION 0'!$G$16:$G$28</c:f>
              <c:multiLvlStrCache>
                <c:ptCount val="11"/>
                <c:lvl>
                  <c:pt idx="0">
                    <c:v>January</c:v>
                  </c:pt>
                  <c:pt idx="1">
                    <c:v>February</c:v>
                  </c:pt>
                  <c:pt idx="2">
                    <c:v>March</c:v>
                  </c:pt>
                  <c:pt idx="3">
                    <c:v>April</c:v>
                  </c:pt>
                  <c:pt idx="4">
                    <c:v>May</c:v>
                  </c:pt>
                  <c:pt idx="5">
                    <c:v>June</c:v>
                  </c:pt>
                  <c:pt idx="6">
                    <c:v>July</c:v>
                  </c:pt>
                  <c:pt idx="7">
                    <c:v>September</c:v>
                  </c:pt>
                  <c:pt idx="8">
                    <c:v>October</c:v>
                  </c:pt>
                  <c:pt idx="9">
                    <c:v>November</c:v>
                  </c:pt>
                  <c:pt idx="10">
                    <c:v>December</c:v>
                  </c:pt>
                </c:lvl>
                <c:lvl>
                  <c:pt idx="0">
                    <c:v>2025</c:v>
                  </c:pt>
                </c:lvl>
              </c:multiLvlStrCache>
            </c:multiLvlStrRef>
          </c:cat>
          <c:val>
            <c:numRef>
              <c:f>'CALCULATION 0'!$H$16:$H$28</c:f>
              <c:numCache>
                <c:formatCode>General</c:formatCode>
                <c:ptCount val="11"/>
                <c:pt idx="0">
                  <c:v>1</c:v>
                </c:pt>
                <c:pt idx="1">
                  <c:v>1</c:v>
                </c:pt>
                <c:pt idx="2">
                  <c:v>1</c:v>
                </c:pt>
                <c:pt idx="3">
                  <c:v>1</c:v>
                </c:pt>
                <c:pt idx="4">
                  <c:v>2</c:v>
                </c:pt>
                <c:pt idx="5">
                  <c:v>3</c:v>
                </c:pt>
                <c:pt idx="6">
                  <c:v>2</c:v>
                </c:pt>
                <c:pt idx="7">
                  <c:v>1</c:v>
                </c:pt>
                <c:pt idx="8">
                  <c:v>1</c:v>
                </c:pt>
                <c:pt idx="9">
                  <c:v>1</c:v>
                </c:pt>
                <c:pt idx="10">
                  <c:v>1</c:v>
                </c:pt>
              </c:numCache>
            </c:numRef>
          </c:val>
          <c:smooth val="0"/>
          <c:extLst>
            <c:ext xmlns:c16="http://schemas.microsoft.com/office/drawing/2014/chart" uri="{C3380CC4-5D6E-409C-BE32-E72D297353CC}">
              <c16:uniqueId val="{00000000-7A4E-45E7-B927-035CE1BB102D}"/>
            </c:ext>
          </c:extLst>
        </c:ser>
        <c:dLbls>
          <c:dLblPos val="t"/>
          <c:showLegendKey val="0"/>
          <c:showVal val="1"/>
          <c:showCatName val="0"/>
          <c:showSerName val="0"/>
          <c:showPercent val="0"/>
          <c:showBubbleSize val="0"/>
        </c:dLbls>
        <c:smooth val="0"/>
        <c:axId val="1620586432"/>
        <c:axId val="1620590176"/>
      </c:lineChart>
      <c:catAx>
        <c:axId val="162058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20590176"/>
        <c:crosses val="autoZero"/>
        <c:auto val="1"/>
        <c:lblAlgn val="ctr"/>
        <c:lblOffset val="100"/>
        <c:noMultiLvlLbl val="0"/>
      </c:catAx>
      <c:valAx>
        <c:axId val="162059017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205864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dk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FOR ATTRITION FINAL.xlsx]CALCULATION 0!TENUREDISTRIBUTION</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TENURE WISE EXIT DISTRIBUTION</a:t>
            </a:r>
          </a:p>
        </c:rich>
      </c:tx>
      <c:layout>
        <c:manualLayout>
          <c:xMode val="edge"/>
          <c:yMode val="edge"/>
          <c:x val="0.41532992338221875"/>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'CALCULATION 0'!$B$15</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3CE-4E31-8B54-D8DED715D621}"/>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3CE-4E31-8B54-D8DED715D621}"/>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3CE-4E31-8B54-D8DED715D62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'CALCULATION 0'!$A$16:$A$19</c:f>
              <c:strCache>
                <c:ptCount val="3"/>
                <c:pt idx="0">
                  <c:v>1 to 3 Yrs</c:v>
                </c:pt>
                <c:pt idx="1">
                  <c:v>3 to 6 Yrs</c:v>
                </c:pt>
                <c:pt idx="2">
                  <c:v>6 to 9 Yrs</c:v>
                </c:pt>
              </c:strCache>
            </c:strRef>
          </c:cat>
          <c:val>
            <c:numRef>
              <c:f>'CALCULATION 0'!$B$16:$B$19</c:f>
              <c:numCache>
                <c:formatCode>General</c:formatCode>
                <c:ptCount val="3"/>
                <c:pt idx="0">
                  <c:v>5</c:v>
                </c:pt>
                <c:pt idx="1">
                  <c:v>7</c:v>
                </c:pt>
                <c:pt idx="2">
                  <c:v>3</c:v>
                </c:pt>
              </c:numCache>
            </c:numRef>
          </c:val>
          <c:extLst>
            <c:ext xmlns:c16="http://schemas.microsoft.com/office/drawing/2014/chart" uri="{C3380CC4-5D6E-409C-BE32-E72D297353CC}">
              <c16:uniqueId val="{00000000-941B-4B31-8149-659D19947D23}"/>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FOR ATTRITION FINAL.xlsx]CALCULATION 0!EXITREASONS</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EXIT REASON DISTRIBUTION</a:t>
            </a:r>
          </a:p>
        </c:rich>
      </c:tx>
      <c:layout>
        <c:manualLayout>
          <c:xMode val="edge"/>
          <c:yMode val="edge"/>
          <c:x val="0.3729698050564192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s>
    <c:plotArea>
      <c:layout/>
      <c:pieChart>
        <c:varyColors val="1"/>
        <c:ser>
          <c:idx val="0"/>
          <c:order val="0"/>
          <c:tx>
            <c:strRef>
              <c:f>'CALCULATION 0'!$E$15</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ED74-4CD1-AB2E-8BAB84DB96D7}"/>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ED74-4CD1-AB2E-8BAB84DB96D7}"/>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ED74-4CD1-AB2E-8BAB84DB96D7}"/>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ED74-4CD1-AB2E-8BAB84DB96D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'CALCULATION 0'!$D$16:$D$20</c:f>
              <c:strCache>
                <c:ptCount val="4"/>
                <c:pt idx="0">
                  <c:v>Better Opportunity</c:v>
                </c:pt>
                <c:pt idx="1">
                  <c:v>Conflict with Manager/Colleagues</c:v>
                </c:pt>
                <c:pt idx="2">
                  <c:v>Health Reasons</c:v>
                </c:pt>
                <c:pt idx="3">
                  <c:v>Relocation</c:v>
                </c:pt>
              </c:strCache>
            </c:strRef>
          </c:cat>
          <c:val>
            <c:numRef>
              <c:f>'CALCULATION 0'!$E$16:$E$20</c:f>
              <c:numCache>
                <c:formatCode>General</c:formatCode>
                <c:ptCount val="4"/>
                <c:pt idx="0">
                  <c:v>9</c:v>
                </c:pt>
                <c:pt idx="1">
                  <c:v>2</c:v>
                </c:pt>
                <c:pt idx="2">
                  <c:v>2</c:v>
                </c:pt>
                <c:pt idx="3">
                  <c:v>2</c:v>
                </c:pt>
              </c:numCache>
            </c:numRef>
          </c:val>
          <c:extLst>
            <c:ext xmlns:c16="http://schemas.microsoft.com/office/drawing/2014/chart" uri="{C3380CC4-5D6E-409C-BE32-E72D297353CC}">
              <c16:uniqueId val="{00000000-A9B3-42FC-9E3F-96C274079F5B}"/>
            </c:ext>
          </c:extLst>
        </c:ser>
        <c:dLbls>
          <c:dLblPos val="outEnd"/>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FOR ATTRITION FINAL.xlsx]CALCULATION 0!PivotTable14</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MONTH WISE EXIT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44488188976382"/>
          <c:y val="0.14400444736074658"/>
          <c:w val="0.79577734033245839"/>
          <c:h val="0.55963764946048411"/>
        </c:manualLayout>
      </c:layout>
      <c:lineChart>
        <c:grouping val="standard"/>
        <c:varyColors val="0"/>
        <c:ser>
          <c:idx val="0"/>
          <c:order val="0"/>
          <c:tx>
            <c:strRef>
              <c:f>'CALCULATION 0'!$H$15</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'CALCULATION 0'!$G$16:$G$28</c:f>
              <c:multiLvlStrCache>
                <c:ptCount val="11"/>
                <c:lvl>
                  <c:pt idx="0">
                    <c:v>January</c:v>
                  </c:pt>
                  <c:pt idx="1">
                    <c:v>February</c:v>
                  </c:pt>
                  <c:pt idx="2">
                    <c:v>March</c:v>
                  </c:pt>
                  <c:pt idx="3">
                    <c:v>April</c:v>
                  </c:pt>
                  <c:pt idx="4">
                    <c:v>May</c:v>
                  </c:pt>
                  <c:pt idx="5">
                    <c:v>June</c:v>
                  </c:pt>
                  <c:pt idx="6">
                    <c:v>July</c:v>
                  </c:pt>
                  <c:pt idx="7">
                    <c:v>September</c:v>
                  </c:pt>
                  <c:pt idx="8">
                    <c:v>October</c:v>
                  </c:pt>
                  <c:pt idx="9">
                    <c:v>November</c:v>
                  </c:pt>
                  <c:pt idx="10">
                    <c:v>December</c:v>
                  </c:pt>
                </c:lvl>
                <c:lvl>
                  <c:pt idx="0">
                    <c:v>2025</c:v>
                  </c:pt>
                </c:lvl>
              </c:multiLvlStrCache>
            </c:multiLvlStrRef>
          </c:cat>
          <c:val>
            <c:numRef>
              <c:f>'CALCULATION 0'!$H$16:$H$28</c:f>
              <c:numCache>
                <c:formatCode>General</c:formatCode>
                <c:ptCount val="11"/>
                <c:pt idx="0">
                  <c:v>1</c:v>
                </c:pt>
                <c:pt idx="1">
                  <c:v>1</c:v>
                </c:pt>
                <c:pt idx="2">
                  <c:v>1</c:v>
                </c:pt>
                <c:pt idx="3">
                  <c:v>1</c:v>
                </c:pt>
                <c:pt idx="4">
                  <c:v>2</c:v>
                </c:pt>
                <c:pt idx="5">
                  <c:v>3</c:v>
                </c:pt>
                <c:pt idx="6">
                  <c:v>2</c:v>
                </c:pt>
                <c:pt idx="7">
                  <c:v>1</c:v>
                </c:pt>
                <c:pt idx="8">
                  <c:v>1</c:v>
                </c:pt>
                <c:pt idx="9">
                  <c:v>1</c:v>
                </c:pt>
                <c:pt idx="10">
                  <c:v>1</c:v>
                </c:pt>
              </c:numCache>
            </c:numRef>
          </c:val>
          <c:smooth val="0"/>
          <c:extLst>
            <c:ext xmlns:c16="http://schemas.microsoft.com/office/drawing/2014/chart" uri="{C3380CC4-5D6E-409C-BE32-E72D297353CC}">
              <c16:uniqueId val="{00000000-4638-4584-B582-DB27C38392F2}"/>
            </c:ext>
          </c:extLst>
        </c:ser>
        <c:dLbls>
          <c:dLblPos val="t"/>
          <c:showLegendKey val="0"/>
          <c:showVal val="1"/>
          <c:showCatName val="0"/>
          <c:showSerName val="0"/>
          <c:showPercent val="0"/>
          <c:showBubbleSize val="0"/>
        </c:dLbls>
        <c:smooth val="0"/>
        <c:axId val="1620586432"/>
        <c:axId val="1620590176"/>
      </c:lineChart>
      <c:catAx>
        <c:axId val="162058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20590176"/>
        <c:crosses val="autoZero"/>
        <c:auto val="1"/>
        <c:lblAlgn val="ctr"/>
        <c:lblOffset val="100"/>
        <c:noMultiLvlLbl val="0"/>
      </c:catAx>
      <c:valAx>
        <c:axId val="162059017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205864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dk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518160</xdr:colOff>
      <xdr:row>2</xdr:row>
      <xdr:rowOff>83819</xdr:rowOff>
    </xdr:from>
    <xdr:to>
      <xdr:col>11</xdr:col>
      <xdr:colOff>335280</xdr:colOff>
      <xdr:row>19</xdr:row>
      <xdr:rowOff>169332</xdr:rowOff>
    </xdr:to>
    <xdr:graphicFrame macro="">
      <xdr:nvGraphicFramePr>
        <xdr:cNvPr id="3" name="Chart 2">
          <a:extLst>
            <a:ext uri="{FF2B5EF4-FFF2-40B4-BE49-F238E27FC236}">
              <a16:creationId xmlns:a16="http://schemas.microsoft.com/office/drawing/2014/main" id="{6D2FA6F5-FFC7-4161-8B77-99D02E20C4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364067</xdr:colOff>
      <xdr:row>2</xdr:row>
      <xdr:rowOff>83820</xdr:rowOff>
    </xdr:from>
    <xdr:to>
      <xdr:col>18</xdr:col>
      <xdr:colOff>15240</xdr:colOff>
      <xdr:row>19</xdr:row>
      <xdr:rowOff>177800</xdr:rowOff>
    </xdr:to>
    <xdr:graphicFrame macro="">
      <xdr:nvGraphicFramePr>
        <xdr:cNvPr id="4" name="Chart 3">
          <a:extLst>
            <a:ext uri="{FF2B5EF4-FFF2-40B4-BE49-F238E27FC236}">
              <a16:creationId xmlns:a16="http://schemas.microsoft.com/office/drawing/2014/main" id="{32C1FB40-78FD-4A58-B0D8-B1861C2003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93133</xdr:colOff>
      <xdr:row>19</xdr:row>
      <xdr:rowOff>169333</xdr:rowOff>
    </xdr:from>
    <xdr:to>
      <xdr:col>18</xdr:col>
      <xdr:colOff>22860</xdr:colOff>
      <xdr:row>33</xdr:row>
      <xdr:rowOff>7620</xdr:rowOff>
    </xdr:to>
    <xdr:graphicFrame macro="">
      <xdr:nvGraphicFramePr>
        <xdr:cNvPr id="5" name="Chart 4">
          <a:extLst>
            <a:ext uri="{FF2B5EF4-FFF2-40B4-BE49-F238E27FC236}">
              <a16:creationId xmlns:a16="http://schemas.microsoft.com/office/drawing/2014/main" id="{9DFAE81C-2172-4FC4-891C-77DA6CD2B4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xdr:row>
      <xdr:rowOff>93134</xdr:rowOff>
    </xdr:from>
    <xdr:to>
      <xdr:col>4</xdr:col>
      <xdr:colOff>499532</xdr:colOff>
      <xdr:row>11</xdr:row>
      <xdr:rowOff>8467</xdr:rowOff>
    </xdr:to>
    <mc:AlternateContent xmlns:mc="http://schemas.openxmlformats.org/markup-compatibility/2006" xmlns:a14="http://schemas.microsoft.com/office/drawing/2010/main">
      <mc:Choice Requires="a14">
        <xdr:graphicFrame macro="">
          <xdr:nvGraphicFramePr>
            <xdr:cNvPr id="6" name="Department 1">
              <a:extLst>
                <a:ext uri="{FF2B5EF4-FFF2-40B4-BE49-F238E27FC236}">
                  <a16:creationId xmlns:a16="http://schemas.microsoft.com/office/drawing/2014/main" id="{6226D7D0-B7A3-4B91-B2F9-1D5E36F7921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0" y="694267"/>
              <a:ext cx="2937932" cy="15917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8466</xdr:rowOff>
    </xdr:from>
    <xdr:to>
      <xdr:col>4</xdr:col>
      <xdr:colOff>508000</xdr:colOff>
      <xdr:row>20</xdr:row>
      <xdr:rowOff>0</xdr:rowOff>
    </xdr:to>
    <mc:AlternateContent xmlns:mc="http://schemas.openxmlformats.org/markup-compatibility/2006" xmlns:a14="http://schemas.microsoft.com/office/drawing/2010/main">
      <mc:Choice Requires="a14">
        <xdr:graphicFrame macro="">
          <xdr:nvGraphicFramePr>
            <xdr:cNvPr id="7" name="Grade 1">
              <a:extLst>
                <a:ext uri="{FF2B5EF4-FFF2-40B4-BE49-F238E27FC236}">
                  <a16:creationId xmlns:a16="http://schemas.microsoft.com/office/drawing/2014/main" id="{136F7F16-B1A0-479D-9196-3E03C4F339B7}"/>
                </a:ext>
              </a:extLst>
            </xdr:cNvPr>
            <xdr:cNvGraphicFramePr/>
          </xdr:nvGraphicFramePr>
          <xdr:xfrm>
            <a:off x="0" y="0"/>
            <a:ext cx="0" cy="0"/>
          </xdr:xfrm>
          <a:graphic>
            <a:graphicData uri="http://schemas.microsoft.com/office/drawing/2010/slicer">
              <sle:slicer xmlns:sle="http://schemas.microsoft.com/office/drawing/2010/slicer" name="Grade 1"/>
            </a:graphicData>
          </a:graphic>
        </xdr:graphicFrame>
      </mc:Choice>
      <mc:Fallback xmlns="">
        <xdr:sp macro="" textlink="">
          <xdr:nvSpPr>
            <xdr:cNvPr id="0" name=""/>
            <xdr:cNvSpPr>
              <a:spLocks noTextEdit="1"/>
            </xdr:cNvSpPr>
          </xdr:nvSpPr>
          <xdr:spPr>
            <a:xfrm>
              <a:off x="0" y="2099733"/>
              <a:ext cx="2946400" cy="1854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533400</xdr:colOff>
      <xdr:row>4</xdr:row>
      <xdr:rowOff>15240</xdr:rowOff>
    </xdr:from>
    <xdr:to>
      <xdr:col>9</xdr:col>
      <xdr:colOff>1181100</xdr:colOff>
      <xdr:row>10</xdr:row>
      <xdr:rowOff>144780</xdr:rowOff>
    </xdr:to>
    <xdr:graphicFrame macro="">
      <xdr:nvGraphicFramePr>
        <xdr:cNvPr id="2" name="Chart 1">
          <a:extLst>
            <a:ext uri="{FF2B5EF4-FFF2-40B4-BE49-F238E27FC236}">
              <a16:creationId xmlns:a16="http://schemas.microsoft.com/office/drawing/2014/main" id="{8734D9B8-DE4E-45E9-8787-184CACDCD8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114300</xdr:colOff>
      <xdr:row>2</xdr:row>
      <xdr:rowOff>91440</xdr:rowOff>
    </xdr:from>
    <xdr:to>
      <xdr:col>5</xdr:col>
      <xdr:colOff>571500</xdr:colOff>
      <xdr:row>10</xdr:row>
      <xdr:rowOff>68580</xdr:rowOff>
    </xdr:to>
    <xdr:graphicFrame macro="">
      <xdr:nvGraphicFramePr>
        <xdr:cNvPr id="3" name="Chart 2">
          <a:extLst>
            <a:ext uri="{FF2B5EF4-FFF2-40B4-BE49-F238E27FC236}">
              <a16:creationId xmlns:a16="http://schemas.microsoft.com/office/drawing/2014/main" id="{829646FC-C492-423C-972B-A97C061612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236220</xdr:colOff>
      <xdr:row>28</xdr:row>
      <xdr:rowOff>99060</xdr:rowOff>
    </xdr:from>
    <xdr:to>
      <xdr:col>8</xdr:col>
      <xdr:colOff>160020</xdr:colOff>
      <xdr:row>38</xdr:row>
      <xdr:rowOff>72390</xdr:rowOff>
    </xdr:to>
    <xdr:graphicFrame macro="">
      <xdr:nvGraphicFramePr>
        <xdr:cNvPr id="4" name="Chart 3">
          <a:extLst>
            <a:ext uri="{FF2B5EF4-FFF2-40B4-BE49-F238E27FC236}">
              <a16:creationId xmlns:a16="http://schemas.microsoft.com/office/drawing/2014/main" id="{42FFEFEE-31B8-485B-8060-C9EFAEABE0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563880</xdr:colOff>
      <xdr:row>18</xdr:row>
      <xdr:rowOff>129540</xdr:rowOff>
    </xdr:from>
    <xdr:to>
      <xdr:col>3</xdr:col>
      <xdr:colOff>1219200</xdr:colOff>
      <xdr:row>27</xdr:row>
      <xdr:rowOff>165735</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3CE930CD-2CAF-49A8-A1FA-0FD5DA97BB3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133600" y="3421380"/>
              <a:ext cx="1828800" cy="16821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563880</xdr:colOff>
      <xdr:row>20</xdr:row>
      <xdr:rowOff>129540</xdr:rowOff>
    </xdr:from>
    <xdr:to>
      <xdr:col>5</xdr:col>
      <xdr:colOff>160020</xdr:colOff>
      <xdr:row>34</xdr:row>
      <xdr:rowOff>36195</xdr:rowOff>
    </xdr:to>
    <mc:AlternateContent xmlns:mc="http://schemas.openxmlformats.org/markup-compatibility/2006" xmlns:a14="http://schemas.microsoft.com/office/drawing/2010/main">
      <mc:Choice Requires="a14">
        <xdr:graphicFrame macro="">
          <xdr:nvGraphicFramePr>
            <xdr:cNvPr id="6" name="Grade">
              <a:extLst>
                <a:ext uri="{FF2B5EF4-FFF2-40B4-BE49-F238E27FC236}">
                  <a16:creationId xmlns:a16="http://schemas.microsoft.com/office/drawing/2014/main" id="{AC44CC9C-519D-480F-AAA9-018C0548ECAF}"/>
                </a:ext>
              </a:extLst>
            </xdr:cNvPr>
            <xdr:cNvGraphicFramePr/>
          </xdr:nvGraphicFramePr>
          <xdr:xfrm>
            <a:off x="0" y="0"/>
            <a:ext cx="0" cy="0"/>
          </xdr:xfrm>
          <a:graphic>
            <a:graphicData uri="http://schemas.microsoft.com/office/drawing/2010/slicer">
              <sle:slicer xmlns:sle="http://schemas.microsoft.com/office/drawing/2010/slicer" name="Grade"/>
            </a:graphicData>
          </a:graphic>
        </xdr:graphicFrame>
      </mc:Choice>
      <mc:Fallback xmlns="">
        <xdr:sp macro="" textlink="">
          <xdr:nvSpPr>
            <xdr:cNvPr id="0" name=""/>
            <xdr:cNvSpPr>
              <a:spLocks noTextEdit="1"/>
            </xdr:cNvSpPr>
          </xdr:nvSpPr>
          <xdr:spPr>
            <a:xfrm>
              <a:off x="3307080" y="3787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TABASE TRAINER" refreshedDate="46198.336823726851" backgroundQuery="1" createdVersion="7" refreshedVersion="7" minRefreshableVersion="3" recordCount="0" supportSubquery="1" supportAdvancedDrill="1" xr:uid="{ACE1869A-6798-4275-894D-E2C8AB5E0BCA}">
  <cacheSource type="external" connectionId="3"/>
  <cacheFields count="5">
    <cacheField name="[Table1].[Status].[Status]" caption="Status" numFmtId="0" hierarchy="15" level="1">
      <sharedItems containsSemiMixedTypes="0" containsNonDate="0" containsString="0"/>
    </cacheField>
    <cacheField name="[Measures].[Count of Employee Name]" caption="Count of Employee Name" numFmtId="0" hierarchy="26" level="32767"/>
    <cacheField name="[Table1].[Exit Type].[Exit Type]" caption="Exit Type" numFmtId="0" hierarchy="18" level="1">
      <sharedItems containsSemiMixedTypes="0" containsNonDate="0" containsString="0"/>
    </cacheField>
    <cacheField name="[Table1].[Tenure Group].[Tenure Group]" caption="Tenure Group" numFmtId="0" hierarchy="22" level="1">
      <sharedItems count="3">
        <s v="1 to 3 Yrs"/>
        <s v="3 to 6 Yrs"/>
        <s v="6 to 9 Yrs"/>
      </sharedItems>
    </cacheField>
    <cacheField name="[Table1].[Department].[Department]" caption="Department" numFmtId="0" hierarchy="14"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alendar1].[Date]" caption="Date" attribute="1" time="1" defaultMemberUniqueName="[Calendar1].[Date].[All]" allUniqueName="[Calendar1].[Date].[All]" dimensionUniqueName="[Calendar1]" displayFolder="" count="2" memberValueDatatype="7" unbalanced="0"/>
    <cacheHierarchy uniqueName="[Table1].[Sr.No]" caption="Sr.No" attribute="1" defaultMemberUniqueName="[Table1].[Sr.No].[All]" allUniqueName="[Table1].[Sr.No].[All]" dimensionUniqueName="[Table1]" displayFolder="" count="2" memberValueDatatype="20" unbalanced="0"/>
    <cacheHierarchy uniqueName="[Table1].[Employee Code]" caption="Employee Code" attribute="1" defaultMemberUniqueName="[Table1].[Employee Code].[All]" allUniqueName="[Table1].[Employee Code].[All]" dimensionUniqueName="[Table1]" displayFolder="" count="2" memberValueDatatype="20" unbalanced="0"/>
    <cacheHierarchy uniqueName="[Table1].[Employee Name]" caption="Employee Name" attribute="1" defaultMemberUniqueName="[Table1].[Employee Name].[All]" allUniqueName="[Table1].[Employee Name].[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Grade]" caption="Grade" attribute="1" defaultMemberUniqueName="[Table1].[Grade].[All]" allUniqueName="[Table1].[Grade].[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4"/>
      </fieldsUsage>
    </cacheHierarchy>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DOJ]" caption="DOJ" attribute="1" time="1" defaultMemberUniqueName="[Table1].[DOJ].[All]" allUniqueName="[Table1].[DOJ].[All]" dimensionUniqueName="[Table1]" displayFolder="" count="2" memberValueDatatype="7" unbalanced="0"/>
    <cacheHierarchy uniqueName="[Table1].[Exit Date]" caption="Exit Date" attribute="1" time="1" defaultMemberUniqueName="[Table1].[Exit Date].[All]" allUniqueName="[Table1].[Exit Date].[All]" dimensionUniqueName="[Table1]" displayFolder="" count="2" memberValueDatatype="7" unbalanced="0"/>
    <cacheHierarchy uniqueName="[Table1].[Exit Type]" caption="Exit Type" attribute="1" defaultMemberUniqueName="[Table1].[Exit Type].[All]" allUniqueName="[Table1].[Exit Type].[All]" dimensionUniqueName="[Table1]" displayFolder="" count="2" memberValueDatatype="130" unbalanced="0">
      <fieldsUsage count="2">
        <fieldUsage x="-1"/>
        <fieldUsage x="2"/>
      </fieldsUsage>
    </cacheHierarchy>
    <cacheHierarchy uniqueName="[Table1].[Exit Reason]" caption="Exit Reason" attribute="1" defaultMemberUniqueName="[Table1].[Exit Reason].[All]" allUniqueName="[Table1].[Exit Reason].[All]" dimensionUniqueName="[Table1]" displayFolder="" count="2" memberValueDatatype="130" unbalanced="0"/>
    <cacheHierarchy uniqueName="[Table1].[Manager Name]" caption="Manager Name" attribute="1" defaultMemberUniqueName="[Table1].[Manager Name].[All]" allUniqueName="[Table1].[Manager Name].[All]" dimensionUniqueName="[Table1]" displayFolder="" count="2" memberValueDatatype="130" unbalanced="0"/>
    <cacheHierarchy uniqueName="[Table1].[Tenure]" caption="Tenure" attribute="1" defaultMemberUniqueName="[Table1].[Tenure].[All]" allUniqueName="[Table1].[Tenure].[All]" dimensionUniqueName="[Table1]" displayFolder="" count="2" memberValueDatatype="5" unbalanced="0"/>
    <cacheHierarchy uniqueName="[Table1].[Tenure Group]" caption="Tenure Group" attribute="1" defaultMemberUniqueName="[Table1].[Tenure Group].[All]" allUniqueName="[Table1].[Tenure Group].[All]" dimensionUniqueName="[Table1]" displayFolder="" count="2" memberValueDatatype="130" unbalanced="0">
      <fieldsUsage count="2">
        <fieldUsage x="-1"/>
        <fieldUsage x="3"/>
      </fieldsUsage>
    </cacheHierarchy>
    <cacheHierarchy uniqueName="[Measures].[Sum of Employee Code]" caption="Sum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Employee Code]" caption="Count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Tenure Group]" caption="Count of Tenure Group" measure="1" displayFolder="" measureGroup="Table1" count="0">
      <extLst>
        <ext xmlns:x15="http://schemas.microsoft.com/office/spreadsheetml/2010/11/main" uri="{B97F6D7D-B522-45F9-BDA1-12C45D357490}">
          <x15:cacheHierarchy aggregatedColumn="22"/>
        </ext>
      </extLst>
    </cacheHierarchy>
    <cacheHierarchy uniqueName="[Measures].[Count of Employee Name]" caption="Count of Employee Name" measure="1" displayFolder="" measureGroup="Table1" count="0" oneField="1">
      <fieldsUsage count="1">
        <fieldUsage x="1"/>
      </fieldsUsage>
      <extLst>
        <ext xmlns:x15="http://schemas.microsoft.com/office/spreadsheetml/2010/11/main" uri="{B97F6D7D-B522-45F9-BDA1-12C45D357490}">
          <x15:cacheHierarchy aggregatedColumn="11"/>
        </ext>
      </extLst>
    </cacheHierarchy>
    <cacheHierarchy uniqueName="[Measures].[Voluntary Exits]" caption="Voluntary Exits" measure="1" displayFolder="" measureGroup="Table1" count="0"/>
    <cacheHierarchy uniqueName="[Measures].[Headcount]" caption="Headcount" measure="1" displayFolder="" measureGroup="Table1" count="0"/>
    <cacheHierarchy uniqueName="[Measures].[Avg Headcount]" caption="Avg Headcount" measure="1" displayFolder="" measureGroup="Table1" count="0"/>
    <cacheHierarchy uniqueName="[Measures].[Attrition %]" caption="Attrition %" measure="1" displayFolder="" measureGroup="Table1" count="0"/>
    <cacheHierarchy uniqueName="[Measures].[Opening HC]" caption="Opening HC"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measure="1" name="Measures" uniqueName="[Measures]" caption="Measures"/>
    <dimension name="Table1" uniqueName="[Table1]" caption="Table1"/>
  </dimensions>
  <measureGroups count="3">
    <measureGroup name="Calendar" caption="Calendar"/>
    <measureGroup name="Calendar1" caption="Calendar1"/>
    <measureGroup name="Table1" caption="Table1"/>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TABASE TRAINER" refreshedDate="46198.336824537037" backgroundQuery="1" createdVersion="7" refreshedVersion="7" minRefreshableVersion="3" recordCount="0" supportSubquery="1" supportAdvancedDrill="1" xr:uid="{3D8A1C68-218B-4D9D-841E-8464299A43C0}">
  <cacheSource type="external" connectionId="3"/>
  <cacheFields count="5">
    <cacheField name="[Table1].[Status].[Status]" caption="Status" numFmtId="0" hierarchy="15" level="1">
      <sharedItems containsSemiMixedTypes="0" containsNonDate="0" containsString="0"/>
    </cacheField>
    <cacheField name="[Measures].[Count of Employee Name]" caption="Count of Employee Name" numFmtId="0" hierarchy="26" level="32767"/>
    <cacheField name="[Table1].[Exit Type].[Exit Type]" caption="Exit Type" numFmtId="0" hierarchy="18" level="1">
      <sharedItems containsSemiMixedTypes="0" containsNonDate="0" containsString="0"/>
    </cacheField>
    <cacheField name="[Table1].[Exit Reason].[Exit Reason]" caption="Exit Reason" numFmtId="0" hierarchy="19" level="1">
      <sharedItems count="4">
        <s v="Better Opportunity"/>
        <s v="Conflict with Manager/Colleagues"/>
        <s v="Health Reasons"/>
        <s v="Relocation"/>
      </sharedItems>
    </cacheField>
    <cacheField name="[Table1].[Department].[Department]" caption="Department" numFmtId="0" hierarchy="14"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defaultMemberUniqueName="[Calendar1].[Date].[All]" allUniqueName="[Calendar1].[Date].[All]" dimensionUniqueName="[Calendar1]" displayFolder="" count="0" memberValueDatatype="7" unbalanced="0"/>
    <cacheHierarchy uniqueName="[Table1].[Sr.No]" caption="Sr.No" attribute="1" defaultMemberUniqueName="[Table1].[Sr.No].[All]" allUniqueName="[Table1].[Sr.No].[All]" dimensionUniqueName="[Table1]" displayFolder="" count="0" memberValueDatatype="20" unbalanced="0"/>
    <cacheHierarchy uniqueName="[Table1].[Employee Code]" caption="Employee Code" attribute="1" defaultMemberUniqueName="[Table1].[Employee Code].[All]" allUniqueName="[Table1].[Employee Code].[All]" dimensionUniqueName="[Table1]" displayFolder="" count="0" memberValueDatatype="20" unbalanced="0"/>
    <cacheHierarchy uniqueName="[Table1].[Employee Name]" caption="Employee Name" attribute="1" defaultMemberUniqueName="[Table1].[Employee Name].[All]" allUniqueName="[Table1].[Employee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Grade]" caption="Grade" attribute="1" defaultMemberUniqueName="[Table1].[Grade].[All]" allUniqueName="[Table1].[Grade].[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4"/>
      </fieldsUsage>
    </cacheHierarchy>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DOJ]" caption="DOJ" attribute="1" time="1" defaultMemberUniqueName="[Table1].[DOJ].[All]" allUniqueName="[Table1].[DOJ].[All]" dimensionUniqueName="[Table1]" displayFolder="" count="0" memberValueDatatype="7" unbalanced="0"/>
    <cacheHierarchy uniqueName="[Table1].[Exit Date]" caption="Exit Date" attribute="1" time="1" defaultMemberUniqueName="[Table1].[Exit Date].[All]" allUniqueName="[Table1].[Exit Date].[All]" dimensionUniqueName="[Table1]" displayFolder="" count="0" memberValueDatatype="7" unbalanced="0"/>
    <cacheHierarchy uniqueName="[Table1].[Exit Type]" caption="Exit Type" attribute="1" defaultMemberUniqueName="[Table1].[Exit Type].[All]" allUniqueName="[Table1].[Exit Type].[All]" dimensionUniqueName="[Table1]" displayFolder="" count="2" memberValueDatatype="130" unbalanced="0">
      <fieldsUsage count="2">
        <fieldUsage x="-1"/>
        <fieldUsage x="2"/>
      </fieldsUsage>
    </cacheHierarchy>
    <cacheHierarchy uniqueName="[Table1].[Exit Reason]" caption="Exit Reason" attribute="1" defaultMemberUniqueName="[Table1].[Exit Reason].[All]" allUniqueName="[Table1].[Exit Reason].[All]" dimensionUniqueName="[Table1]" displayFolder="" count="2" memberValueDatatype="130" unbalanced="0">
      <fieldsUsage count="2">
        <fieldUsage x="-1"/>
        <fieldUsage x="3"/>
      </fieldsUsage>
    </cacheHierarchy>
    <cacheHierarchy uniqueName="[Table1].[Manager Name]" caption="Manager Name" attribute="1" defaultMemberUniqueName="[Table1].[Manager Name].[All]" allUniqueName="[Table1].[Manager Name].[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5" unbalanced="0"/>
    <cacheHierarchy uniqueName="[Table1].[Tenure Group]" caption="Tenure Group" attribute="1" defaultMemberUniqueName="[Table1].[Tenure Group].[All]" allUniqueName="[Table1].[Tenure Group].[All]" dimensionUniqueName="[Table1]" displayFolder="" count="0" memberValueDatatype="130" unbalanced="0"/>
    <cacheHierarchy uniqueName="[Measures].[Sum of Employee Code]" caption="Sum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Employee Code]" caption="Count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Tenure Group]" caption="Count of Tenure Group" measure="1" displayFolder="" measureGroup="Table1" count="0">
      <extLst>
        <ext xmlns:x15="http://schemas.microsoft.com/office/spreadsheetml/2010/11/main" uri="{B97F6D7D-B522-45F9-BDA1-12C45D357490}">
          <x15:cacheHierarchy aggregatedColumn="22"/>
        </ext>
      </extLst>
    </cacheHierarchy>
    <cacheHierarchy uniqueName="[Measures].[Count of Employee Name]" caption="Count of Employee Name" measure="1" displayFolder="" measureGroup="Table1" count="0" oneField="1">
      <fieldsUsage count="1">
        <fieldUsage x="1"/>
      </fieldsUsage>
      <extLst>
        <ext xmlns:x15="http://schemas.microsoft.com/office/spreadsheetml/2010/11/main" uri="{B97F6D7D-B522-45F9-BDA1-12C45D357490}">
          <x15:cacheHierarchy aggregatedColumn="11"/>
        </ext>
      </extLst>
    </cacheHierarchy>
    <cacheHierarchy uniqueName="[Measures].[Voluntary Exits]" caption="Voluntary Exits" measure="1" displayFolder="" measureGroup="Table1" count="0"/>
    <cacheHierarchy uniqueName="[Measures].[Headcount]" caption="Headcount" measure="1" displayFolder="" measureGroup="Table1" count="0"/>
    <cacheHierarchy uniqueName="[Measures].[Avg Headcount]" caption="Avg Headcount" measure="1" displayFolder="" measureGroup="Table1" count="0"/>
    <cacheHierarchy uniqueName="[Measures].[Attrition %]" caption="Attrition %" measure="1" displayFolder="" measureGroup="Table1" count="0"/>
    <cacheHierarchy uniqueName="[Measures].[Opening HC]" caption="Opening HC"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measure="1" name="Measures" uniqueName="[Measures]" caption="Measures"/>
    <dimension name="Table1" uniqueName="[Table1]" caption="Table1"/>
  </dimensions>
  <measureGroups count="3">
    <measureGroup name="Calendar" caption="Calendar"/>
    <measureGroup name="Calendar1" caption="Calendar1"/>
    <measureGroup name="Table1" caption="Table1"/>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TABASE TRAINER" refreshedDate="46198.336824999998" backgroundQuery="1" createdVersion="7" refreshedVersion="7" minRefreshableVersion="3" recordCount="0" supportSubquery="1" supportAdvancedDrill="1" xr:uid="{F9354D61-61DD-49B1-92A5-C75EE0432A85}">
  <cacheSource type="external" connectionId="3"/>
  <cacheFields count="4">
    <cacheField name="[Table1].[Status].[Status]" caption="Status" numFmtId="0" hierarchy="15" level="1">
      <sharedItems containsSemiMixedTypes="0" containsNonDate="0" containsString="0"/>
    </cacheField>
    <cacheField name="[Measures].[Count of Employee Name]" caption="Count of Employee Name" numFmtId="0" hierarchy="26" level="32767"/>
    <cacheField name="[Table1].[Exit Type].[Exit Type]" caption="Exit Type" numFmtId="0" hierarchy="18" level="1">
      <sharedItems containsSemiMixedTypes="0" containsNonDate="0" containsString="0"/>
    </cacheField>
    <cacheField name="[Table1].[Department].[Department]" caption="Department" numFmtId="0" hierarchy="14"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defaultMemberUniqueName="[Calendar1].[Date].[All]" allUniqueName="[Calendar1].[Date].[All]" dimensionUniqueName="[Calendar1]" displayFolder="" count="0" memberValueDatatype="7" unbalanced="0"/>
    <cacheHierarchy uniqueName="[Table1].[Sr.No]" caption="Sr.No" attribute="1" defaultMemberUniqueName="[Table1].[Sr.No].[All]" allUniqueName="[Table1].[Sr.No].[All]" dimensionUniqueName="[Table1]" displayFolder="" count="0" memberValueDatatype="20" unbalanced="0"/>
    <cacheHierarchy uniqueName="[Table1].[Employee Code]" caption="Employee Code" attribute="1" defaultMemberUniqueName="[Table1].[Employee Code].[All]" allUniqueName="[Table1].[Employee Code].[All]" dimensionUniqueName="[Table1]" displayFolder="" count="0" memberValueDatatype="20" unbalanced="0"/>
    <cacheHierarchy uniqueName="[Table1].[Employee Name]" caption="Employee Name" attribute="1" defaultMemberUniqueName="[Table1].[Employee Name].[All]" allUniqueName="[Table1].[Employee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Grade]" caption="Grade" attribute="1" defaultMemberUniqueName="[Table1].[Grade].[All]" allUniqueName="[Table1].[Grade].[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3"/>
      </fieldsUsage>
    </cacheHierarchy>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DOJ]" caption="DOJ" attribute="1" time="1" defaultMemberUniqueName="[Table1].[DOJ].[All]" allUniqueName="[Table1].[DOJ].[All]" dimensionUniqueName="[Table1]" displayFolder="" count="0" memberValueDatatype="7" unbalanced="0"/>
    <cacheHierarchy uniqueName="[Table1].[Exit Date]" caption="Exit Date" attribute="1" time="1" defaultMemberUniqueName="[Table1].[Exit Date].[All]" allUniqueName="[Table1].[Exit Date].[All]" dimensionUniqueName="[Table1]" displayFolder="" count="0" memberValueDatatype="7" unbalanced="0"/>
    <cacheHierarchy uniqueName="[Table1].[Exit Type]" caption="Exit Type" attribute="1" defaultMemberUniqueName="[Table1].[Exit Type].[All]" allUniqueName="[Table1].[Exit Type].[All]" dimensionUniqueName="[Table1]" displayFolder="" count="2" memberValueDatatype="130" unbalanced="0">
      <fieldsUsage count="2">
        <fieldUsage x="-1"/>
        <fieldUsage x="2"/>
      </fieldsUsage>
    </cacheHierarchy>
    <cacheHierarchy uniqueName="[Table1].[Exit Reason]" caption="Exit Reason" attribute="1" defaultMemberUniqueName="[Table1].[Exit Reason].[All]" allUniqueName="[Table1].[Exit Reason].[All]" dimensionUniqueName="[Table1]" displayFolder="" count="0" memberValueDatatype="130" unbalanced="0"/>
    <cacheHierarchy uniqueName="[Table1].[Manager Name]" caption="Manager Name" attribute="1" defaultMemberUniqueName="[Table1].[Manager Name].[All]" allUniqueName="[Table1].[Manager Name].[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5" unbalanced="0"/>
    <cacheHierarchy uniqueName="[Table1].[Tenure Group]" caption="Tenure Group" attribute="1" defaultMemberUniqueName="[Table1].[Tenure Group].[All]" allUniqueName="[Table1].[Tenure Group].[All]" dimensionUniqueName="[Table1]" displayFolder="" count="0" memberValueDatatype="130" unbalanced="0"/>
    <cacheHierarchy uniqueName="[Measures].[Sum of Employee Code]" caption="Sum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Employee Code]" caption="Count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Tenure Group]" caption="Count of Tenure Group" measure="1" displayFolder="" measureGroup="Table1" count="0">
      <extLst>
        <ext xmlns:x15="http://schemas.microsoft.com/office/spreadsheetml/2010/11/main" uri="{B97F6D7D-B522-45F9-BDA1-12C45D357490}">
          <x15:cacheHierarchy aggregatedColumn="22"/>
        </ext>
      </extLst>
    </cacheHierarchy>
    <cacheHierarchy uniqueName="[Measures].[Count of Employee Name]" caption="Count of Employee Name" measure="1" displayFolder="" measureGroup="Table1" count="0" oneField="1">
      <fieldsUsage count="1">
        <fieldUsage x="1"/>
      </fieldsUsage>
      <extLst>
        <ext xmlns:x15="http://schemas.microsoft.com/office/spreadsheetml/2010/11/main" uri="{B97F6D7D-B522-45F9-BDA1-12C45D357490}">
          <x15:cacheHierarchy aggregatedColumn="11"/>
        </ext>
      </extLst>
    </cacheHierarchy>
    <cacheHierarchy uniqueName="[Measures].[Voluntary Exits]" caption="Voluntary Exits" measure="1" displayFolder="" measureGroup="Table1" count="0"/>
    <cacheHierarchy uniqueName="[Measures].[Headcount]" caption="Headcount" measure="1" displayFolder="" measureGroup="Table1" count="0"/>
    <cacheHierarchy uniqueName="[Measures].[Avg Headcount]" caption="Avg Headcount" measure="1" displayFolder="" measureGroup="Table1" count="0"/>
    <cacheHierarchy uniqueName="[Measures].[Attrition %]" caption="Attrition %" measure="1" displayFolder="" measureGroup="Table1" count="0"/>
    <cacheHierarchy uniqueName="[Measures].[Opening HC]" caption="Opening HC"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measure="1" name="Measures" uniqueName="[Measures]" caption="Measures"/>
    <dimension name="Table1" uniqueName="[Table1]" caption="Table1"/>
  </dimensions>
  <measureGroups count="3">
    <measureGroup name="Calendar" caption="Calendar"/>
    <measureGroup name="Calendar1" caption="Calendar1"/>
    <measureGroup name="Table1" caption="Table1"/>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TABASE TRAINER" refreshedDate="46198.336825115737" backgroundQuery="1" createdVersion="7" refreshedVersion="7" minRefreshableVersion="3" recordCount="0" supportSubquery="1" supportAdvancedDrill="1" xr:uid="{863C76A4-34D0-4DD7-97E0-154840CDA49C}">
  <cacheSource type="external" connectionId="3"/>
  <cacheFields count="4">
    <cacheField name="[Table1].[Status].[Status]" caption="Status" numFmtId="0" hierarchy="15" level="1">
      <sharedItems containsSemiMixedTypes="0" containsNonDate="0" containsString="0"/>
    </cacheField>
    <cacheField name="[Measures].[Count of Employee Name]" caption="Count of Employee Name" numFmtId="0" hierarchy="26" level="32767"/>
    <cacheField name="[Table1].[Exit Type].[Exit Type]" caption="Exit Type" numFmtId="0" hierarchy="18" level="1">
      <sharedItems containsSemiMixedTypes="0" containsNonDate="0" containsString="0"/>
    </cacheField>
    <cacheField name="[Table1].[Department].[Department]" caption="Department" numFmtId="0" hierarchy="14"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defaultMemberUniqueName="[Calendar1].[Date].[All]" allUniqueName="[Calendar1].[Date].[All]" dimensionUniqueName="[Calendar1]" displayFolder="" count="0" memberValueDatatype="7" unbalanced="0"/>
    <cacheHierarchy uniqueName="[Table1].[Sr.No]" caption="Sr.No" attribute="1" defaultMemberUniqueName="[Table1].[Sr.No].[All]" allUniqueName="[Table1].[Sr.No].[All]" dimensionUniqueName="[Table1]" displayFolder="" count="0" memberValueDatatype="20" unbalanced="0"/>
    <cacheHierarchy uniqueName="[Table1].[Employee Code]" caption="Employee Code" attribute="1" defaultMemberUniqueName="[Table1].[Employee Code].[All]" allUniqueName="[Table1].[Employee Code].[All]" dimensionUniqueName="[Table1]" displayFolder="" count="0" memberValueDatatype="20" unbalanced="0"/>
    <cacheHierarchy uniqueName="[Table1].[Employee Name]" caption="Employee Name" attribute="1" defaultMemberUniqueName="[Table1].[Employee Name].[All]" allUniqueName="[Table1].[Employee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Grade]" caption="Grade" attribute="1" defaultMemberUniqueName="[Table1].[Grade].[All]" allUniqueName="[Table1].[Grade].[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3"/>
      </fieldsUsage>
    </cacheHierarchy>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DOJ]" caption="DOJ" attribute="1" time="1" defaultMemberUniqueName="[Table1].[DOJ].[All]" allUniqueName="[Table1].[DOJ].[All]" dimensionUniqueName="[Table1]" displayFolder="" count="0" memberValueDatatype="7" unbalanced="0"/>
    <cacheHierarchy uniqueName="[Table1].[Exit Date]" caption="Exit Date" attribute="1" time="1" defaultMemberUniqueName="[Table1].[Exit Date].[All]" allUniqueName="[Table1].[Exit Date].[All]" dimensionUniqueName="[Table1]" displayFolder="" count="0" memberValueDatatype="7" unbalanced="0"/>
    <cacheHierarchy uniqueName="[Table1].[Exit Type]" caption="Exit Type" attribute="1" defaultMemberUniqueName="[Table1].[Exit Type].[All]" allUniqueName="[Table1].[Exit Type].[All]" dimensionUniqueName="[Table1]" displayFolder="" count="2" memberValueDatatype="130" unbalanced="0">
      <fieldsUsage count="2">
        <fieldUsage x="-1"/>
        <fieldUsage x="2"/>
      </fieldsUsage>
    </cacheHierarchy>
    <cacheHierarchy uniqueName="[Table1].[Exit Reason]" caption="Exit Reason" attribute="1" defaultMemberUniqueName="[Table1].[Exit Reason].[All]" allUniqueName="[Table1].[Exit Reason].[All]" dimensionUniqueName="[Table1]" displayFolder="" count="0" memberValueDatatype="130" unbalanced="0"/>
    <cacheHierarchy uniqueName="[Table1].[Manager Name]" caption="Manager Name" attribute="1" defaultMemberUniqueName="[Table1].[Manager Name].[All]" allUniqueName="[Table1].[Manager Name].[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5" unbalanced="0"/>
    <cacheHierarchy uniqueName="[Table1].[Tenure Group]" caption="Tenure Group" attribute="1" defaultMemberUniqueName="[Table1].[Tenure Group].[All]" allUniqueName="[Table1].[Tenure Group].[All]" dimensionUniqueName="[Table1]" displayFolder="" count="0" memberValueDatatype="130" unbalanced="0"/>
    <cacheHierarchy uniqueName="[Measures].[Sum of Employee Code]" caption="Sum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Employee Code]" caption="Count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Tenure Group]" caption="Count of Tenure Group" measure="1" displayFolder="" measureGroup="Table1" count="0">
      <extLst>
        <ext xmlns:x15="http://schemas.microsoft.com/office/spreadsheetml/2010/11/main" uri="{B97F6D7D-B522-45F9-BDA1-12C45D357490}">
          <x15:cacheHierarchy aggregatedColumn="22"/>
        </ext>
      </extLst>
    </cacheHierarchy>
    <cacheHierarchy uniqueName="[Measures].[Count of Employee Name]" caption="Count of Employee Name" measure="1" displayFolder="" measureGroup="Table1" count="0" oneField="1">
      <fieldsUsage count="1">
        <fieldUsage x="1"/>
      </fieldsUsage>
      <extLst>
        <ext xmlns:x15="http://schemas.microsoft.com/office/spreadsheetml/2010/11/main" uri="{B97F6D7D-B522-45F9-BDA1-12C45D357490}">
          <x15:cacheHierarchy aggregatedColumn="11"/>
        </ext>
      </extLst>
    </cacheHierarchy>
    <cacheHierarchy uniqueName="[Measures].[Voluntary Exits]" caption="Voluntary Exits" measure="1" displayFolder="" measureGroup="Table1" count="0"/>
    <cacheHierarchy uniqueName="[Measures].[Headcount]" caption="Headcount" measure="1" displayFolder="" measureGroup="Table1" count="0"/>
    <cacheHierarchy uniqueName="[Measures].[Avg Headcount]" caption="Avg Headcount" measure="1" displayFolder="" measureGroup="Table1" count="0"/>
    <cacheHierarchy uniqueName="[Measures].[Attrition %]" caption="Attrition %" measure="1" displayFolder="" measureGroup="Table1" count="0"/>
    <cacheHierarchy uniqueName="[Measures].[Opening HC]" caption="Opening HC"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measure="1" name="Measures" uniqueName="[Measures]" caption="Measures"/>
    <dimension name="Table1" uniqueName="[Table1]" caption="Table1"/>
  </dimensions>
  <measureGroups count="3">
    <measureGroup name="Calendar" caption="Calendar"/>
    <measureGroup name="Calendar1" caption="Calendar1"/>
    <measureGroup name="Table1" caption="Table1"/>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TABASE TRAINER" refreshedDate="46198.336826157407" backgroundQuery="1" createdVersion="7" refreshedVersion="7" minRefreshableVersion="3" recordCount="0" supportSubquery="1" supportAdvancedDrill="1" xr:uid="{19859335-2619-47F9-8D37-20A4D801019B}">
  <cacheSource type="external" connectionId="3"/>
  <cacheFields count="7">
    <cacheField name="[Table1].[Status].[Status]" caption="Status" numFmtId="0" hierarchy="15" level="1">
      <sharedItems containsSemiMixedTypes="0" containsNonDate="0" containsString="0"/>
    </cacheField>
    <cacheField name="[Measures].[Count of Employee Name]" caption="Count of Employee Name" numFmtId="0" hierarchy="26" level="32767"/>
    <cacheField name="[Table1].[Exit Type].[Exit Type]" caption="Exit Type" numFmtId="0" hierarchy="18" level="1">
      <sharedItems containsSemiMixedTypes="0" containsNonDate="0" containsString="0"/>
    </cacheField>
    <cacheField name="[Calendar].[Date Hierarchy].[Year]" caption="Year" numFmtId="0" hierarchy="1" level="1">
      <sharedItems containsSemiMixedTypes="0" containsString="0" containsNumber="1" containsInteger="1" minValue="2025" maxValue="2025" count="1">
        <n v="2025"/>
      </sharedItems>
      <extLst>
        <ext xmlns:x15="http://schemas.microsoft.com/office/spreadsheetml/2010/11/main" uri="{4F2E5C28-24EA-4eb8-9CBF-B6C8F9C3D259}">
          <x15:cachedUniqueNames>
            <x15:cachedUniqueName index="0" name="[Calendar].[Date Hierarchy].[Year].&amp;[2025]"/>
          </x15:cachedUniqueNames>
        </ext>
      </extLst>
    </cacheField>
    <cacheField name="[Calendar].[Date Hierarchy].[Month]" caption="Month" numFmtId="0" hierarchy="1" level="2">
      <sharedItems count="11">
        <s v="January"/>
        <s v="February"/>
        <s v="March"/>
        <s v="April"/>
        <s v="May"/>
        <s v="June"/>
        <s v="July"/>
        <s v="September"/>
        <s v="October"/>
        <s v="November"/>
        <s v="December"/>
      </sharedItems>
      <extLst>
        <ext xmlns:x15="http://schemas.microsoft.com/office/spreadsheetml/2010/11/main" uri="{4F2E5C28-24EA-4eb8-9CBF-B6C8F9C3D259}">
          <x15:cachedUniqueNames>
            <x15:cachedUniqueName index="0" name="[Calendar].[Date Hierarchy].[Year].&amp;[2025].&amp;[January]"/>
            <x15:cachedUniqueName index="1" name="[Calendar].[Date Hierarchy].[Year].&amp;[2025].&amp;[February]"/>
            <x15:cachedUniqueName index="2" name="[Calendar].[Date Hierarchy].[Year].&amp;[2025].&amp;[March]"/>
            <x15:cachedUniqueName index="3" name="[Calendar].[Date Hierarchy].[Year].&amp;[2025].&amp;[April]"/>
            <x15:cachedUniqueName index="4" name="[Calendar].[Date Hierarchy].[Year].&amp;[2025].&amp;[May]"/>
            <x15:cachedUniqueName index="5" name="[Calendar].[Date Hierarchy].[Year].&amp;[2025].&amp;[June]"/>
            <x15:cachedUniqueName index="6" name="[Calendar].[Date Hierarchy].[Year].&amp;[2025].&amp;[July]"/>
            <x15:cachedUniqueName index="7" name="[Calendar].[Date Hierarchy].[Year].&amp;[2025].&amp;[September]"/>
            <x15:cachedUniqueName index="8" name="[Calendar].[Date Hierarchy].[Year].&amp;[2025].&amp;[October]"/>
            <x15:cachedUniqueName index="9" name="[Calendar].[Date Hierarchy].[Year].&amp;[2025].&amp;[November]"/>
            <x15:cachedUniqueName index="10" name="[Calendar].[Date Hierarchy].[Year].&amp;[2025].&amp;[December]"/>
          </x15:cachedUniqueNames>
        </ext>
      </extLst>
    </cacheField>
    <cacheField name="[Calendar].[Date Hierarchy].[DateColumn]" caption="DateColumn" numFmtId="0" hierarchy="1" level="3">
      <sharedItems containsSemiMixedTypes="0" containsNonDate="0" containsString="0"/>
    </cacheField>
    <cacheField name="[Table1].[Department].[Department]" caption="Department" numFmtId="0" hierarchy="14"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defaultMemberUniqueName="[Calendar1].[Date].[All]" allUniqueName="[Calendar1].[Date].[All]" dimensionUniqueName="[Calendar1]" displayFolder="" count="0" memberValueDatatype="7" unbalanced="0"/>
    <cacheHierarchy uniqueName="[Table1].[Sr.No]" caption="Sr.No" attribute="1" defaultMemberUniqueName="[Table1].[Sr.No].[All]" allUniqueName="[Table1].[Sr.No].[All]" dimensionUniqueName="[Table1]" displayFolder="" count="0" memberValueDatatype="20" unbalanced="0"/>
    <cacheHierarchy uniqueName="[Table1].[Employee Code]" caption="Employee Code" attribute="1" defaultMemberUniqueName="[Table1].[Employee Code].[All]" allUniqueName="[Table1].[Employee Code].[All]" dimensionUniqueName="[Table1]" displayFolder="" count="0" memberValueDatatype="20" unbalanced="0"/>
    <cacheHierarchy uniqueName="[Table1].[Employee Name]" caption="Employee Name" attribute="1" defaultMemberUniqueName="[Table1].[Employee Name].[All]" allUniqueName="[Table1].[Employee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Grade]" caption="Grade" attribute="1" defaultMemberUniqueName="[Table1].[Grade].[All]" allUniqueName="[Table1].[Grade].[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6"/>
      </fieldsUsage>
    </cacheHierarchy>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DOJ]" caption="DOJ" attribute="1" time="1" defaultMemberUniqueName="[Table1].[DOJ].[All]" allUniqueName="[Table1].[DOJ].[All]" dimensionUniqueName="[Table1]" displayFolder="" count="0" memberValueDatatype="7" unbalanced="0"/>
    <cacheHierarchy uniqueName="[Table1].[Exit Date]" caption="Exit Date" attribute="1" time="1" defaultMemberUniqueName="[Table1].[Exit Date].[All]" allUniqueName="[Table1].[Exit Date].[All]" dimensionUniqueName="[Table1]" displayFolder="" count="0" memberValueDatatype="7" unbalanced="0"/>
    <cacheHierarchy uniqueName="[Table1].[Exit Type]" caption="Exit Type" attribute="1" defaultMemberUniqueName="[Table1].[Exit Type].[All]" allUniqueName="[Table1].[Exit Type].[All]" dimensionUniqueName="[Table1]" displayFolder="" count="2" memberValueDatatype="130" unbalanced="0">
      <fieldsUsage count="2">
        <fieldUsage x="-1"/>
        <fieldUsage x="2"/>
      </fieldsUsage>
    </cacheHierarchy>
    <cacheHierarchy uniqueName="[Table1].[Exit Reason]" caption="Exit Reason" attribute="1" defaultMemberUniqueName="[Table1].[Exit Reason].[All]" allUniqueName="[Table1].[Exit Reason].[All]" dimensionUniqueName="[Table1]" displayFolder="" count="0" memberValueDatatype="130" unbalanced="0"/>
    <cacheHierarchy uniqueName="[Table1].[Manager Name]" caption="Manager Name" attribute="1" defaultMemberUniqueName="[Table1].[Manager Name].[All]" allUniqueName="[Table1].[Manager Name].[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5" unbalanced="0"/>
    <cacheHierarchy uniqueName="[Table1].[Tenure Group]" caption="Tenure Group" attribute="1" defaultMemberUniqueName="[Table1].[Tenure Group].[All]" allUniqueName="[Table1].[Tenure Group].[All]" dimensionUniqueName="[Table1]" displayFolder="" count="0" memberValueDatatype="130" unbalanced="0"/>
    <cacheHierarchy uniqueName="[Measures].[Sum of Employee Code]" caption="Sum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Employee Code]" caption="Count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Tenure Group]" caption="Count of Tenure Group" measure="1" displayFolder="" measureGroup="Table1" count="0">
      <extLst>
        <ext xmlns:x15="http://schemas.microsoft.com/office/spreadsheetml/2010/11/main" uri="{B97F6D7D-B522-45F9-BDA1-12C45D357490}">
          <x15:cacheHierarchy aggregatedColumn="22"/>
        </ext>
      </extLst>
    </cacheHierarchy>
    <cacheHierarchy uniqueName="[Measures].[Count of Employee Name]" caption="Count of Employee Name" measure="1" displayFolder="" measureGroup="Table1" count="0" oneField="1">
      <fieldsUsage count="1">
        <fieldUsage x="1"/>
      </fieldsUsage>
      <extLst>
        <ext xmlns:x15="http://schemas.microsoft.com/office/spreadsheetml/2010/11/main" uri="{B97F6D7D-B522-45F9-BDA1-12C45D357490}">
          <x15:cacheHierarchy aggregatedColumn="11"/>
        </ext>
      </extLst>
    </cacheHierarchy>
    <cacheHierarchy uniqueName="[Measures].[Voluntary Exits]" caption="Voluntary Exits" measure="1" displayFolder="" measureGroup="Table1" count="0"/>
    <cacheHierarchy uniqueName="[Measures].[Headcount]" caption="Headcount" measure="1" displayFolder="" measureGroup="Table1" count="0"/>
    <cacheHierarchy uniqueName="[Measures].[Avg Headcount]" caption="Avg Headcount" measure="1" displayFolder="" measureGroup="Table1" count="0"/>
    <cacheHierarchy uniqueName="[Measures].[Attrition %]" caption="Attrition %" measure="1" displayFolder="" measureGroup="Table1" count="0"/>
    <cacheHierarchy uniqueName="[Measures].[Opening HC]" caption="Opening HC"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measure="1" name="Measures" uniqueName="[Measures]" caption="Measures"/>
    <dimension name="Table1" uniqueName="[Table1]" caption="Table1"/>
  </dimensions>
  <measureGroups count="3">
    <measureGroup name="Calendar" caption="Calendar"/>
    <measureGroup name="Calendar1" caption="Calendar1"/>
    <measureGroup name="Table1" caption="Table1"/>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TABASE TRAINER" refreshedDate="46198.336826388891" backgroundQuery="1" createdVersion="7" refreshedVersion="7" minRefreshableVersion="3" recordCount="0" supportSubquery="1" supportAdvancedDrill="1" xr:uid="{59CD8194-CE42-45B1-9523-8D391FEB9D2C}">
  <cacheSource type="external" connectionId="3"/>
  <cacheFields count="3">
    <cacheField name="[Table1].[Status].[Status]" caption="Status" numFmtId="0" hierarchy="15" level="1">
      <sharedItems containsSemiMixedTypes="0" containsNonDate="0" containsString="0"/>
    </cacheField>
    <cacheField name="[Measures].[Count of Employee Name]" caption="Count of Employee Name" numFmtId="0" hierarchy="26" level="32767"/>
    <cacheField name="[Table1].[Department].[Department]" caption="Department" numFmtId="0" hierarchy="14"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defaultMemberUniqueName="[Calendar1].[Date].[All]" allUniqueName="[Calendar1].[Date].[All]" dimensionUniqueName="[Calendar1]" displayFolder="" count="0" memberValueDatatype="7" unbalanced="0"/>
    <cacheHierarchy uniqueName="[Table1].[Sr.No]" caption="Sr.No" attribute="1" defaultMemberUniqueName="[Table1].[Sr.No].[All]" allUniqueName="[Table1].[Sr.No].[All]" dimensionUniqueName="[Table1]" displayFolder="" count="0" memberValueDatatype="20" unbalanced="0"/>
    <cacheHierarchy uniqueName="[Table1].[Employee Code]" caption="Employee Code" attribute="1" defaultMemberUniqueName="[Table1].[Employee Code].[All]" allUniqueName="[Table1].[Employee Code].[All]" dimensionUniqueName="[Table1]" displayFolder="" count="0" memberValueDatatype="20" unbalanced="0"/>
    <cacheHierarchy uniqueName="[Table1].[Employee Name]" caption="Employee Name" attribute="1" defaultMemberUniqueName="[Table1].[Employee Name].[All]" allUniqueName="[Table1].[Employee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Grade]" caption="Grade" attribute="1" defaultMemberUniqueName="[Table1].[Grade].[All]" allUniqueName="[Table1].[Grade].[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2"/>
      </fieldsUsage>
    </cacheHierarchy>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DOJ]" caption="DOJ" attribute="1" time="1" defaultMemberUniqueName="[Table1].[DOJ].[All]" allUniqueName="[Table1].[DOJ].[All]" dimensionUniqueName="[Table1]" displayFolder="" count="0" memberValueDatatype="7" unbalanced="0"/>
    <cacheHierarchy uniqueName="[Table1].[Exit Date]" caption="Exit Date" attribute="1" time="1" defaultMemberUniqueName="[Table1].[Exit Date].[All]" allUniqueName="[Table1].[Exit Date].[All]" dimensionUniqueName="[Table1]" displayFolder="" count="0" memberValueDatatype="7" unbalanced="0"/>
    <cacheHierarchy uniqueName="[Table1].[Exit Type]" caption="Exit Type" attribute="1" defaultMemberUniqueName="[Table1].[Exit Type].[All]" allUniqueName="[Table1].[Exit Type].[All]" dimensionUniqueName="[Table1]" displayFolder="" count="0" memberValueDatatype="130" unbalanced="0"/>
    <cacheHierarchy uniqueName="[Table1].[Exit Reason]" caption="Exit Reason" attribute="1" defaultMemberUniqueName="[Table1].[Exit Reason].[All]" allUniqueName="[Table1].[Exit Reason].[All]" dimensionUniqueName="[Table1]" displayFolder="" count="0" memberValueDatatype="130" unbalanced="0"/>
    <cacheHierarchy uniqueName="[Table1].[Manager Name]" caption="Manager Name" attribute="1" defaultMemberUniqueName="[Table1].[Manager Name].[All]" allUniqueName="[Table1].[Manager Name].[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5" unbalanced="0"/>
    <cacheHierarchy uniqueName="[Table1].[Tenure Group]" caption="Tenure Group" attribute="1" defaultMemberUniqueName="[Table1].[Tenure Group].[All]" allUniqueName="[Table1].[Tenure Group].[All]" dimensionUniqueName="[Table1]" displayFolder="" count="0" memberValueDatatype="130" unbalanced="0"/>
    <cacheHierarchy uniqueName="[Measures].[Sum of Employee Code]" caption="Sum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Employee Code]" caption="Count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Tenure Group]" caption="Count of Tenure Group" measure="1" displayFolder="" measureGroup="Table1" count="0">
      <extLst>
        <ext xmlns:x15="http://schemas.microsoft.com/office/spreadsheetml/2010/11/main" uri="{B97F6D7D-B522-45F9-BDA1-12C45D357490}">
          <x15:cacheHierarchy aggregatedColumn="22"/>
        </ext>
      </extLst>
    </cacheHierarchy>
    <cacheHierarchy uniqueName="[Measures].[Count of Employee Name]" caption="Count of Employee Name" measure="1" displayFolder="" measureGroup="Table1" count="0" oneField="1">
      <fieldsUsage count="1">
        <fieldUsage x="1"/>
      </fieldsUsage>
      <extLst>
        <ext xmlns:x15="http://schemas.microsoft.com/office/spreadsheetml/2010/11/main" uri="{B97F6D7D-B522-45F9-BDA1-12C45D357490}">
          <x15:cacheHierarchy aggregatedColumn="11"/>
        </ext>
      </extLst>
    </cacheHierarchy>
    <cacheHierarchy uniqueName="[Measures].[Voluntary Exits]" caption="Voluntary Exits" measure="1" displayFolder="" measureGroup="Table1" count="0"/>
    <cacheHierarchy uniqueName="[Measures].[Headcount]" caption="Headcount" measure="1" displayFolder="" measureGroup="Table1" count="0"/>
    <cacheHierarchy uniqueName="[Measures].[Avg Headcount]" caption="Avg Headcount" measure="1" displayFolder="" measureGroup="Table1" count="0"/>
    <cacheHierarchy uniqueName="[Measures].[Attrition %]" caption="Attrition %" measure="1" displayFolder="" measureGroup="Table1" count="0"/>
    <cacheHierarchy uniqueName="[Measures].[Opening HC]" caption="Opening HC"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measure="1" name="Measures" uniqueName="[Measures]" caption="Measures"/>
    <dimension name="Table1" uniqueName="[Table1]" caption="Table1"/>
  </dimensions>
  <measureGroups count="3">
    <measureGroup name="Calendar" caption="Calendar"/>
    <measureGroup name="Calendar1" caption="Calendar1"/>
    <measureGroup name="Table1" caption="Table1"/>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TABASE TRAINER" refreshedDate="46198.336826620369" backgroundQuery="1" createdVersion="7" refreshedVersion="7" minRefreshableVersion="3" recordCount="0" supportSubquery="1" supportAdvancedDrill="1" xr:uid="{E4428131-068C-4F7D-9B74-487807201D5F}">
  <cacheSource type="external" connectionId="3"/>
  <cacheFields count="3">
    <cacheField name="[Table1].[Status].[Status]" caption="Status" numFmtId="0" hierarchy="15" level="1">
      <sharedItems containsSemiMixedTypes="0" containsNonDate="0" containsString="0"/>
    </cacheField>
    <cacheField name="[Measures].[Count of Employee Name]" caption="Count of Employee Name" numFmtId="0" hierarchy="26" level="32767"/>
    <cacheField name="[Table1].[Department].[Department]" caption="Department" numFmtId="0" hierarchy="14"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defaultMemberUniqueName="[Calendar1].[Date].[All]" allUniqueName="[Calendar1].[Date].[All]" dimensionUniqueName="[Calendar1]" displayFolder="" count="0" memberValueDatatype="7" unbalanced="0"/>
    <cacheHierarchy uniqueName="[Table1].[Sr.No]" caption="Sr.No" attribute="1" defaultMemberUniqueName="[Table1].[Sr.No].[All]" allUniqueName="[Table1].[Sr.No].[All]" dimensionUniqueName="[Table1]" displayFolder="" count="0" memberValueDatatype="20" unbalanced="0"/>
    <cacheHierarchy uniqueName="[Table1].[Employee Code]" caption="Employee Code" attribute="1" defaultMemberUniqueName="[Table1].[Employee Code].[All]" allUniqueName="[Table1].[Employee Code].[All]" dimensionUniqueName="[Table1]" displayFolder="" count="0" memberValueDatatype="20" unbalanced="0"/>
    <cacheHierarchy uniqueName="[Table1].[Employee Name]" caption="Employee Name" attribute="1" defaultMemberUniqueName="[Table1].[Employee Name].[All]" allUniqueName="[Table1].[Employee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Grade]" caption="Grade" attribute="1" defaultMemberUniqueName="[Table1].[Grade].[All]" allUniqueName="[Table1].[Grade].[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2"/>
      </fieldsUsage>
    </cacheHierarchy>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DOJ]" caption="DOJ" attribute="1" time="1" defaultMemberUniqueName="[Table1].[DOJ].[All]" allUniqueName="[Table1].[DOJ].[All]" dimensionUniqueName="[Table1]" displayFolder="" count="0" memberValueDatatype="7" unbalanced="0"/>
    <cacheHierarchy uniqueName="[Table1].[Exit Date]" caption="Exit Date" attribute="1" time="1" defaultMemberUniqueName="[Table1].[Exit Date].[All]" allUniqueName="[Table1].[Exit Date].[All]" dimensionUniqueName="[Table1]" displayFolder="" count="0" memberValueDatatype="7" unbalanced="0"/>
    <cacheHierarchy uniqueName="[Table1].[Exit Type]" caption="Exit Type" attribute="1" defaultMemberUniqueName="[Table1].[Exit Type].[All]" allUniqueName="[Table1].[Exit Type].[All]" dimensionUniqueName="[Table1]" displayFolder="" count="0" memberValueDatatype="130" unbalanced="0"/>
    <cacheHierarchy uniqueName="[Table1].[Exit Reason]" caption="Exit Reason" attribute="1" defaultMemberUniqueName="[Table1].[Exit Reason].[All]" allUniqueName="[Table1].[Exit Reason].[All]" dimensionUniqueName="[Table1]" displayFolder="" count="0" memberValueDatatype="130" unbalanced="0"/>
    <cacheHierarchy uniqueName="[Table1].[Manager Name]" caption="Manager Name" attribute="1" defaultMemberUniqueName="[Table1].[Manager Name].[All]" allUniqueName="[Table1].[Manager Name].[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5" unbalanced="0"/>
    <cacheHierarchy uniqueName="[Table1].[Tenure Group]" caption="Tenure Group" attribute="1" defaultMemberUniqueName="[Table1].[Tenure Group].[All]" allUniqueName="[Table1].[Tenure Group].[All]" dimensionUniqueName="[Table1]" displayFolder="" count="0" memberValueDatatype="130" unbalanced="0"/>
    <cacheHierarchy uniqueName="[Measures].[Sum of Employee Code]" caption="Sum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Employee Code]" caption="Count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Tenure Group]" caption="Count of Tenure Group" measure="1" displayFolder="" measureGroup="Table1" count="0">
      <extLst>
        <ext xmlns:x15="http://schemas.microsoft.com/office/spreadsheetml/2010/11/main" uri="{B97F6D7D-B522-45F9-BDA1-12C45D357490}">
          <x15:cacheHierarchy aggregatedColumn="22"/>
        </ext>
      </extLst>
    </cacheHierarchy>
    <cacheHierarchy uniqueName="[Measures].[Count of Employee Name]" caption="Count of Employee Name" measure="1" displayFolder="" measureGroup="Table1" count="0" oneField="1">
      <fieldsUsage count="1">
        <fieldUsage x="1"/>
      </fieldsUsage>
      <extLst>
        <ext xmlns:x15="http://schemas.microsoft.com/office/spreadsheetml/2010/11/main" uri="{B97F6D7D-B522-45F9-BDA1-12C45D357490}">
          <x15:cacheHierarchy aggregatedColumn="11"/>
        </ext>
      </extLst>
    </cacheHierarchy>
    <cacheHierarchy uniqueName="[Measures].[Voluntary Exits]" caption="Voluntary Exits" measure="1" displayFolder="" measureGroup="Table1" count="0"/>
    <cacheHierarchy uniqueName="[Measures].[Headcount]" caption="Headcount" measure="1" displayFolder="" measureGroup="Table1" count="0"/>
    <cacheHierarchy uniqueName="[Measures].[Avg Headcount]" caption="Avg Headcount" measure="1" displayFolder="" measureGroup="Table1" count="0"/>
    <cacheHierarchy uniqueName="[Measures].[Attrition %]" caption="Attrition %" measure="1" displayFolder="" measureGroup="Table1" count="0"/>
    <cacheHierarchy uniqueName="[Measures].[Opening HC]" caption="Opening HC"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measure="1" name="Measures" uniqueName="[Measures]" caption="Measures"/>
    <dimension name="Table1" uniqueName="[Table1]" caption="Table1"/>
  </dimensions>
  <measureGroups count="3">
    <measureGroup name="Calendar" caption="Calendar"/>
    <measureGroup name="Calendar1" caption="Calendar1"/>
    <measureGroup name="Table1" caption="Table1"/>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TABASE TRAINER" refreshedDate="46198.330563888892" backgroundQuery="1" createdVersion="3" refreshedVersion="7" minRefreshableVersion="3" recordCount="0" supportSubquery="1" supportAdvancedDrill="1" xr:uid="{11CAE07B-3D14-4F8B-84C6-94EC99551BD9}">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defaultMemberUniqueName="[Calendar1].[Date].[All]" allUniqueName="[Calendar1].[Date].[All]" dimensionUniqueName="[Calendar1]" displayFolder="" count="0" memberValueDatatype="7" unbalanced="0"/>
    <cacheHierarchy uniqueName="[Table1].[Sr.No]" caption="Sr.No" attribute="1" defaultMemberUniqueName="[Table1].[Sr.No].[All]" allUniqueName="[Table1].[Sr.No].[All]" dimensionUniqueName="[Table1]" displayFolder="" count="0" memberValueDatatype="20" unbalanced="0"/>
    <cacheHierarchy uniqueName="[Table1].[Employee Code]" caption="Employee Code" attribute="1" defaultMemberUniqueName="[Table1].[Employee Code].[All]" allUniqueName="[Table1].[Employee Code].[All]" dimensionUniqueName="[Table1]" displayFolder="" count="0" memberValueDatatype="20" unbalanced="0"/>
    <cacheHierarchy uniqueName="[Table1].[Employee Name]" caption="Employee Name" attribute="1" defaultMemberUniqueName="[Table1].[Employee Name].[All]" allUniqueName="[Table1].[Employee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Grade]" caption="Grade" attribute="1" defaultMemberUniqueName="[Table1].[Grade].[All]" allUniqueName="[Table1].[Grade].[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DOJ]" caption="DOJ" attribute="1" time="1" defaultMemberUniqueName="[Table1].[DOJ].[All]" allUniqueName="[Table1].[DOJ].[All]" dimensionUniqueName="[Table1]" displayFolder="" count="0" memberValueDatatype="7" unbalanced="0"/>
    <cacheHierarchy uniqueName="[Table1].[Exit Date]" caption="Exit Date" attribute="1" time="1" defaultMemberUniqueName="[Table1].[Exit Date].[All]" allUniqueName="[Table1].[Exit Date].[All]" dimensionUniqueName="[Table1]" displayFolder="" count="0" memberValueDatatype="7" unbalanced="0"/>
    <cacheHierarchy uniqueName="[Table1].[Exit Type]" caption="Exit Type" attribute="1" defaultMemberUniqueName="[Table1].[Exit Type].[All]" allUniqueName="[Table1].[Exit Type].[All]" dimensionUniqueName="[Table1]" displayFolder="" count="0" memberValueDatatype="130" unbalanced="0"/>
    <cacheHierarchy uniqueName="[Table1].[Exit Reason]" caption="Exit Reason" attribute="1" defaultMemberUniqueName="[Table1].[Exit Reason].[All]" allUniqueName="[Table1].[Exit Reason].[All]" dimensionUniqueName="[Table1]" displayFolder="" count="0" memberValueDatatype="130" unbalanced="0"/>
    <cacheHierarchy uniqueName="[Table1].[Manager Name]" caption="Manager Name" attribute="1" defaultMemberUniqueName="[Table1].[Manager Name].[All]" allUniqueName="[Table1].[Manager Name].[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5" unbalanced="0"/>
    <cacheHierarchy uniqueName="[Table1].[Tenure Group]" caption="Tenure Group" attribute="1" defaultMemberUniqueName="[Table1].[Tenure Group].[All]" allUniqueName="[Table1].[Tenure Group].[All]" dimensionUniqueName="[Table1]" displayFolder="" count="0" memberValueDatatype="130" unbalanced="0"/>
    <cacheHierarchy uniqueName="[Measures].[Sum of Employee Code]" caption="Sum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Employee Code]" caption="Count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Tenure Group]" caption="Count of Tenure Group" measure="1" displayFolder="" measureGroup="Table1" count="0">
      <extLst>
        <ext xmlns:x15="http://schemas.microsoft.com/office/spreadsheetml/2010/11/main" uri="{B97F6D7D-B522-45F9-BDA1-12C45D357490}">
          <x15:cacheHierarchy aggregatedColumn="22"/>
        </ext>
      </extLst>
    </cacheHierarchy>
    <cacheHierarchy uniqueName="[Measures].[Count of Employee Name]" caption="Count of Employee Name" measure="1" displayFolder="" measureGroup="Table1" count="0">
      <extLst>
        <ext xmlns:x15="http://schemas.microsoft.com/office/spreadsheetml/2010/11/main" uri="{B97F6D7D-B522-45F9-BDA1-12C45D357490}">
          <x15:cacheHierarchy aggregatedColumn="11"/>
        </ext>
      </extLst>
    </cacheHierarchy>
    <cacheHierarchy uniqueName="[Measures].[Voluntary Exits]" caption="Voluntary Exits" measure="1" displayFolder="" measureGroup="Table1" count="0"/>
    <cacheHierarchy uniqueName="[Measures].[Headcount]" caption="Headcount" measure="1" displayFolder="" measureGroup="Table1" count="0"/>
    <cacheHierarchy uniqueName="[Measures].[Avg Headcount]" caption="Avg Headcount" measure="1" displayFolder="" measureGroup="Table1" count="0"/>
    <cacheHierarchy uniqueName="[Measures].[Attrition %]" caption="Attrition %" measure="1" displayFolder="" measureGroup="Table1" count="0"/>
    <cacheHierarchy uniqueName="[Measures].[Opening HC]" caption="Opening HC"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4411528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975932-6A74-4D8C-95FC-D9B1C7DAF44E}" name="EXITREASONS" cacheId="1" applyNumberFormats="0" applyBorderFormats="0" applyFontFormats="0" applyPatternFormats="0" applyAlignmentFormats="0" applyWidthHeightFormats="1" dataCaption="Values" tag="4c309bc8-1ea7-44b2-9328-7330fc6dc313" updatedVersion="7" minRefreshableVersion="3" useAutoFormatting="1" subtotalHiddenItems="1" itemPrintTitles="1" createdVersion="7" indent="0" outline="1" outlineData="1" multipleFieldFilters="0" chartFormat="3">
  <location ref="D15:E20" firstHeaderRow="1" firstDataRow="1" firstDataCol="1" rowPageCount="2" colPageCount="1"/>
  <pivotFields count="5">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3"/>
  </rowFields>
  <rowItems count="5">
    <i>
      <x/>
    </i>
    <i>
      <x v="1"/>
    </i>
    <i>
      <x v="2"/>
    </i>
    <i>
      <x v="3"/>
    </i>
    <i t="grand">
      <x/>
    </i>
  </rowItems>
  <colItems count="1">
    <i/>
  </colItems>
  <pageFields count="2">
    <pageField fld="0" hier="15" name="[Table1].[Status].&amp;[Inactive]" cap="Inactive"/>
    <pageField fld="2" hier="18" name="[Table1].[Exit Type].&amp;[Voluntary]" cap="Voluntary"/>
  </pageFields>
  <dataFields count="1">
    <dataField name="Count of Employee Name" fld="1" subtotal="count" baseField="0" baseItem="0"/>
  </dataFields>
  <chartFormats count="10">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 chart="2" format="9">
      <pivotArea type="data" outline="0" fieldPosition="0">
        <references count="2">
          <reference field="4294967294" count="1" selected="0">
            <x v="0"/>
          </reference>
          <reference field="3" count="1" selected="0">
            <x v="2"/>
          </reference>
        </references>
      </pivotArea>
    </chartFormat>
    <chartFormat chart="2" format="10">
      <pivotArea type="data" outline="0" fieldPosition="0">
        <references count="2">
          <reference field="4294967294" count="1" selected="0">
            <x v="0"/>
          </reference>
          <reference field="3" count="1" selected="0">
            <x v="3"/>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s>
  <pivotHierarchies count="3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it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28C54F-3796-4A04-AC0D-13071EBF774F}" name="TOTAL HEADCOUNT" cacheId="6" applyNumberFormats="0" applyBorderFormats="0" applyFontFormats="0" applyPatternFormats="0" applyAlignmentFormats="0" applyWidthHeightFormats="1" dataCaption="Values" tag="a78ba6d2-6f8b-4d62-b1f5-d6719ebac865" updatedVersion="7" minRefreshableVersion="3" useAutoFormatting="1" subtotalHiddenItems="1" itemPrintTitles="1" createdVersion="7" indent="0" outline="1" outlineData="1" multipleFieldFilters="0">
  <location ref="A3:A4" firstHeaderRow="1" firstDataRow="1" firstDataCol="0" rowPageCount="1" colPageCount="1"/>
  <pivotFields count="3">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pageFields count="1">
    <pageField fld="0" hier="15" name="[Table1].[Status].&amp;[Active]" cap="Active"/>
  </pageFields>
  <dataFields count="1">
    <dataField name="Count of Employee Name" fld="1" subtotal="count" baseField="0" baseItem="0"/>
  </dataFields>
  <pivotHierarchies count="3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it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D150EA-7B87-41AC-834D-FCD57CA2A461}" name="TENUREDISTRIBUTION" cacheId="0" applyNumberFormats="0" applyBorderFormats="0" applyFontFormats="0" applyPatternFormats="0" applyAlignmentFormats="0" applyWidthHeightFormats="1" dataCaption="Values" tag="dbc425cc-7061-4a2e-aed9-e949a5c40562" updatedVersion="7" minRefreshableVersion="3" useAutoFormatting="1" subtotalHiddenItems="1" itemPrintTitles="1" createdVersion="7" indent="0" outline="1" outlineData="1" multipleFieldFilters="0" chartFormat="5">
  <location ref="A15:B19" firstHeaderRow="1" firstDataRow="1" firstDataCol="1" rowPageCount="2" colPageCount="1"/>
  <pivotFields count="5">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3"/>
  </rowFields>
  <rowItems count="4">
    <i>
      <x/>
    </i>
    <i>
      <x v="1"/>
    </i>
    <i>
      <x v="2"/>
    </i>
    <i t="grand">
      <x/>
    </i>
  </rowItems>
  <colItems count="1">
    <i/>
  </colItems>
  <pageFields count="2">
    <pageField fld="0" hier="15" name="[Table1].[Status].&amp;[Inactive]" cap="Inactive"/>
    <pageField fld="2" hier="18" name="[Table1].[Exit Type].&amp;[Voluntary]" cap="Voluntary"/>
  </pageFields>
  <dataFields count="1">
    <dataField name="Count of Employee Name" fld="1" subtotal="count" baseField="0" baseItem="0"/>
  </dataFields>
  <chartFormats count="8">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3" count="1" selected="0">
            <x v="0"/>
          </reference>
        </references>
      </pivotArea>
    </chartFormat>
    <chartFormat chart="4" format="7">
      <pivotArea type="data" outline="0" fieldPosition="0">
        <references count="2">
          <reference field="4294967294" count="1" selected="0">
            <x v="0"/>
          </reference>
          <reference field="3" count="1" selected="0">
            <x v="1"/>
          </reference>
        </references>
      </pivotArea>
    </chartFormat>
    <chartFormat chart="4" format="8">
      <pivotArea type="data" outline="0" fieldPosition="0">
        <references count="2">
          <reference field="4294967294" count="1" selected="0">
            <x v="0"/>
          </reference>
          <reference field="3" count="1" selected="0">
            <x v="2"/>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s>
  <pivotHierarchies count="3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it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1A6887-8650-4F4A-8164-AF731F0C024A}" name="PivotTable11" cacheId="3" applyNumberFormats="0" applyBorderFormats="0" applyFontFormats="0" applyPatternFormats="0" applyAlignmentFormats="0" applyWidthHeightFormats="1" dataCaption="Values" tag="d3672d28-a5c7-4e1b-8be3-ffa7ee6b792f" updatedVersion="7" minRefreshableVersion="3" useAutoFormatting="1" subtotalHiddenItems="1" itemPrintTitles="1" createdVersion="7" indent="0" outline="1" outlineData="1" multipleFieldFilters="0">
  <location ref="J4:J5" firstHeaderRow="1" firstDataRow="1" firstDataCol="0" rowPageCount="2" colPageCount="1"/>
  <pivotFields count="4">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2">
    <pageField fld="0" hier="15" name="[Table1].[Status].&amp;[Inactive]" cap="Inactive"/>
    <pageField fld="2" hier="18" name="[Table1].[Exit Type].&amp;[Voluntary]" cap="Voluntary"/>
  </pageFields>
  <dataFields count="1">
    <dataField name="Count of Employee Name" fld="1" subtotal="count" baseField="0" baseItem="0"/>
  </dataFields>
  <pivotHierarchies count="3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it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9B23F6-E2A9-4B57-B5B5-527EFB5ADAA6}" name="INVOLUNTARY EXIT" cacheId="2" applyNumberFormats="0" applyBorderFormats="0" applyFontFormats="0" applyPatternFormats="0" applyAlignmentFormats="0" applyWidthHeightFormats="1" dataCaption="Values" tag="5aa80dbb-0896-4d34-a3bb-269da99189b1" updatedVersion="7" minRefreshableVersion="3" useAutoFormatting="1" subtotalHiddenItems="1" itemPrintTitles="1" createdVersion="7" indent="0" outline="1" outlineData="1" multipleFieldFilters="0">
  <location ref="G4:G5" firstHeaderRow="1" firstDataRow="1" firstDataCol="0" rowPageCount="2" colPageCount="1"/>
  <pivotFields count="4">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2">
    <pageField fld="0" hier="15" name="[Table1].[Status].&amp;[Inactive]" cap="Inactive"/>
    <pageField fld="2" hier="18" name="[Table1].[Exit Type].&amp;[Involuntary]" cap="Involuntary"/>
  </pageFields>
  <dataFields count="1">
    <dataField name="Count of Employee Name" fld="1" subtotal="count" baseField="0" baseItem="0"/>
  </dataFields>
  <pivotHierarchies count="3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it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FEBEE9-66EC-4CEF-BB8A-90157AE25AB6}" name="PivotTable8" cacheId="5" applyNumberFormats="0" applyBorderFormats="0" applyFontFormats="0" applyPatternFormats="0" applyAlignmentFormats="0" applyWidthHeightFormats="1" dataCaption="Values" tag="bb5945e8-7fd8-4b25-a37b-8b518047c6f0" updatedVersion="7" minRefreshableVersion="3" useAutoFormatting="1" subtotalHiddenItems="1" itemPrintTitles="1" createdVersion="7" indent="0" outline="1" outlineData="1" multipleFieldFilters="0">
  <location ref="D3:D4" firstHeaderRow="1" firstDataRow="1" firstDataCol="0" rowPageCount="1" colPageCount="1"/>
  <pivotFields count="3">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pageFields count="1">
    <pageField fld="0" hier="15" name="[Table1].[Status].&amp;[Inactive]" cap="Inactive"/>
  </pageFields>
  <dataFields count="1">
    <dataField name="Count of Employee Name" fld="1" subtotal="count" baseField="0" baseItem="0"/>
  </dataFields>
  <pivotHierarchies count="3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it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2472E3-0F50-4038-948F-6BA3E87E7F03}" name="PivotTable14" cacheId="4" applyNumberFormats="0" applyBorderFormats="0" applyFontFormats="0" applyPatternFormats="0" applyAlignmentFormats="0" applyWidthHeightFormats="1" dataCaption="Values" tag="9e07194c-14a7-4058-ab64-f796db66c422" updatedVersion="7" minRefreshableVersion="3" useAutoFormatting="1" subtotalHiddenItems="1" itemPrintTitles="1" createdVersion="7" indent="0" outline="1" outlineData="1" multipleFieldFilters="0" chartFormat="3">
  <location ref="G15:H28" firstHeaderRow="1" firstDataRow="1" firstDataCol="1" rowPageCount="2" colPageCount="1"/>
  <pivotFields count="7">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axis="axisRow" allDrilled="1" subtotalTop="0" showAll="0" dataSourceSort="1" defaultSubtotal="0">
      <items count="1">
        <item c="1" x="0" d="1"/>
      </items>
    </pivotField>
    <pivotField axis="axisRow" subtotalTop="0" showAll="0" dataSourceSort="1" defaultSubtotal="0">
      <items count="11">
        <item c="1" x="0"/>
        <item c="1" x="1"/>
        <item c="1" x="2"/>
        <item c="1" x="3"/>
        <item c="1" x="4"/>
        <item c="1" x="5"/>
        <item c="1" x="6"/>
        <item c="1" x="7"/>
        <item c="1" x="8"/>
        <item c="1" x="9"/>
        <item c="1" x="10"/>
      </items>
    </pivotField>
    <pivotField axis="axisRow" subtotalTop="0" showAll="0" dataSourceSort="1" defaultSubtotal="0"/>
    <pivotField allDrilled="1" subtotalTop="0" showAll="0" dataSourceSort="1" defaultSubtotal="0" defaultAttributeDrillState="1"/>
  </pivotFields>
  <rowFields count="2">
    <field x="3"/>
    <field x="4"/>
  </rowFields>
  <rowItems count="13">
    <i>
      <x/>
    </i>
    <i r="1">
      <x/>
    </i>
    <i r="1">
      <x v="1"/>
    </i>
    <i r="1">
      <x v="2"/>
    </i>
    <i r="1">
      <x v="3"/>
    </i>
    <i r="1">
      <x v="4"/>
    </i>
    <i r="1">
      <x v="5"/>
    </i>
    <i r="1">
      <x v="6"/>
    </i>
    <i r="1">
      <x v="7"/>
    </i>
    <i r="1">
      <x v="8"/>
    </i>
    <i r="1">
      <x v="9"/>
    </i>
    <i r="1">
      <x v="10"/>
    </i>
    <i t="grand">
      <x/>
    </i>
  </rowItems>
  <colItems count="1">
    <i/>
  </colItems>
  <pageFields count="2">
    <pageField fld="0" hier="15" name="[Table1].[Status].&amp;[Inactive]" cap="Inactive"/>
    <pageField fld="2" hier="18" name="[Table1].[Exit Type].&amp;[Voluntary]" cap="Voluntary"/>
  </pageFields>
  <dataFields count="1">
    <dataField name="Count of Employee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AF10FCB-6C69-48F3-A2F7-183552EBC67C}" sourceName="[Table1].[Department]">
  <pivotTables>
    <pivotTable tabId="5" name="TENUREDISTRIBUTION"/>
    <pivotTable tabId="5" name="EXITREASONS"/>
    <pivotTable tabId="5" name="INVOLUNTARY EXIT"/>
    <pivotTable tabId="5" name="PivotTable11"/>
    <pivotTable tabId="5" name="PivotTable14"/>
    <pivotTable tabId="5" name="PivotTable8"/>
    <pivotTable tabId="5" name="TOTAL HEADCOUNT"/>
  </pivotTables>
  <data>
    <olap pivotCacheId="1244115281">
      <levels count="2">
        <level uniqueName="[Table1].[Department].[(All)]" sourceCaption="(All)" count="0"/>
        <level uniqueName="[Table1].[Department].[Department]" sourceCaption="Department" count="4">
          <ranges>
            <range startItem="0">
              <i n="[Table1].[Department].&amp;[Finance]" c="Finance"/>
              <i n="[Table1].[Department].&amp;[IT]" c="IT"/>
              <i n="[Table1].[Department].&amp;[Marketing]" c="Marketing"/>
              <i n="[Table1].[Department].&amp;[Sales]" c="Sales"/>
            </range>
          </ranges>
        </level>
      </levels>
      <selections count="1">
        <selection n="[Table1].[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F0F8622D-0034-4C07-B925-94C6D264B1B7}" sourceName="[Table1].[Grade]">
  <pivotTables>
    <pivotTable tabId="5" name="TENUREDISTRIBUTION"/>
    <pivotTable tabId="5" name="EXITREASONS"/>
    <pivotTable tabId="5" name="INVOLUNTARY EXIT"/>
    <pivotTable tabId="5" name="PivotTable11"/>
    <pivotTable tabId="5" name="PivotTable14"/>
    <pivotTable tabId="5" name="PivotTable8"/>
    <pivotTable tabId="5" name="TOTAL HEADCOUNT"/>
  </pivotTables>
  <data>
    <olap pivotCacheId="1244115281">
      <levels count="2">
        <level uniqueName="[Table1].[Grade].[(All)]" sourceCaption="(All)" count="0"/>
        <level uniqueName="[Table1].[Grade].[Grade]" sourceCaption="Grade" count="5">
          <ranges>
            <range startItem="0">
              <i n="[Table1].[Grade].&amp;[G2]" c="G2"/>
              <i n="[Table1].[Grade].&amp;[G3]" c="G3"/>
              <i n="[Table1].[Grade].&amp;[G4]" c="G4"/>
              <i n="[Table1].[Grade].&amp;[G5]" c="G5"/>
              <i n="[Table1].[Grade].&amp;[G1]" c="G1"/>
            </range>
          </ranges>
        </level>
      </levels>
      <selections count="1">
        <selection n="[Table1].[Gra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D2CFD44B-19FD-488F-B9C6-E4F43D1E18B4}" cache="Slicer_Department" caption="Department" level="1" rowHeight="234950"/>
  <slicer name="Grade 1" xr10:uid="{769723C9-65D9-4F11-AE68-A2D9DC00C180}" cache="Slicer_Grade" caption="Grad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3D20A7F-3C09-4C89-A923-7D58EB1E3442}" cache="Slicer_Department" caption="Department" level="1" rowHeight="234950"/>
  <slicer name="Grade" xr10:uid="{F84952A3-4501-4779-AEB5-5CE0CEA6BB99}" cache="Slicer_Grade" caption="Grade"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7FB2DC-0BF1-451A-8967-D60047F1DBE1}" name="Exit_Data" displayName="Exit_Data" ref="A1:N117" totalsRowShown="0" headerRowDxfId="13" dataDxfId="12">
  <tableColumns count="14">
    <tableColumn id="1" xr3:uid="{9AA8E96E-82C2-4C16-BA10-1BA20FF97125}" name="Sr.No" dataDxfId="11"/>
    <tableColumn id="2" xr3:uid="{145D3078-3A7B-4A13-B148-5371D0064579}" name="Employee Code" dataDxfId="10"/>
    <tableColumn id="3" xr3:uid="{CBE259EA-80AB-4FB6-B13B-C6710BF079A4}" name="Employee Name"/>
    <tableColumn id="17" xr3:uid="{B78030BB-E837-4A41-ABEE-93FE40338481}" name="Gender" dataDxfId="9"/>
    <tableColumn id="18" xr3:uid="{38F3FDC1-4A19-4093-8FDE-5DEC8A51972A}" name="Grade" dataDxfId="8"/>
    <tableColumn id="4" xr3:uid="{094A7BDE-D1F7-4212-8DE0-F503DAAB8EC4}" name="Department" dataDxfId="7"/>
    <tableColumn id="13" xr3:uid="{98DFEF2E-8008-4D99-BA72-245D48DCDA5A}" name="Status" dataDxfId="6">
      <calculatedColumnFormula>IF(ISBLANK(Exit_Data[[#This Row],[Exit Date]]),"Active","Inactive")</calculatedColumnFormula>
    </tableColumn>
    <tableColumn id="14" xr3:uid="{4E8F78E4-204A-48DD-A7C6-AA656FABBAB0}" name="DOJ" dataDxfId="5"/>
    <tableColumn id="15" xr3:uid="{C11A260D-6A53-45F6-9317-584541730646}" name="Exit Date" dataDxfId="4"/>
    <tableColumn id="22" xr3:uid="{A4F90804-BE31-4ED0-B3AD-407CDEA8DB9A}" name="Exit Type"/>
    <tableColumn id="16" xr3:uid="{B75B261A-A4A3-4CB2-A76B-4E1469D227E3}" name="Exit Reason" dataDxfId="3"/>
    <tableColumn id="6" xr3:uid="{5DB44055-2528-4AAB-BA88-635726988E4D}" name="Manager Name" dataDxfId="2"/>
    <tableColumn id="7" xr3:uid="{9C6DA8AA-41D9-4A2E-AF71-A95A62576C4A}" name="Tenure" dataDxfId="1">
      <calculatedColumnFormula>(TODAY()-Exit_Data[[#This Row],[DOJ]])/365.25</calculatedColumnFormula>
    </tableColumn>
    <tableColumn id="12" xr3:uid="{C1AE1C56-7301-402C-BFD8-A169500DBEEC}" name="Tenure Group" dataDxfId="0">
      <calculatedColumnFormula>_xlfn.IFS(Exit_Data[[#This Row],[Tenure]]&gt;9,"9+ Yrs",Exit_Data[[#This Row],[Tenure]]&gt;6,"6 to 9 Yrs",Exit_Data[[#This Row],[Tenure]]&gt;3,"3 to 6 Yrs",Exit_Data[[#This Row],[Tenure]]&gt;1,"1 to 3 Yrs",Exit_Data[[#This Row],[Tenure]]&gt;0,"0 to 1 Yr")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47B6D-40AF-467E-BB51-0D7EEED36EC3}">
  <sheetPr>
    <tabColor rgb="FF00B050"/>
  </sheetPr>
  <dimension ref="A1:R2"/>
  <sheetViews>
    <sheetView showGridLines="0" topLeftCell="A10" zoomScale="90" zoomScaleNormal="90" workbookViewId="0">
      <selection activeCell="T22" sqref="T22"/>
    </sheetView>
  </sheetViews>
  <sheetFormatPr defaultRowHeight="15"/>
  <cols>
    <col min="15" max="15" width="8.85546875" customWidth="1"/>
  </cols>
  <sheetData>
    <row r="1" spans="1:18" ht="32.450000000000003" customHeight="1" thickBot="1">
      <c r="A1" s="19" t="s">
        <v>159</v>
      </c>
      <c r="B1" s="20"/>
      <c r="C1" s="20"/>
      <c r="D1" s="20"/>
      <c r="E1" s="21"/>
      <c r="F1" s="22">
        <f>GETPIVOTDATA("[Measures].[Count of Employee Name]",'CALCULATION 0'!$A$3)</f>
        <v>99</v>
      </c>
      <c r="G1" s="23"/>
      <c r="H1" s="22">
        <f>GETPIVOTDATA("[Measures].[Count of Employee Name]",'CALCULATION 0'!$D$3)</f>
        <v>17</v>
      </c>
      <c r="I1" s="24"/>
      <c r="J1" s="22">
        <f>GETPIVOTDATA("[Measures].[Count of Employee Name]",'CALCULATION 0'!$J$4)</f>
        <v>15</v>
      </c>
      <c r="K1" s="24"/>
      <c r="L1" s="22">
        <f>GETPIVOTDATA("[Measures].[Count of Employee Name]",'CALCULATION 0'!$G$4)</f>
        <v>2</v>
      </c>
      <c r="M1" s="24"/>
      <c r="N1" s="25">
        <f>'CALCULATION 0'!B9</f>
        <v>0.13953488372093023</v>
      </c>
      <c r="O1" s="24"/>
      <c r="P1" s="16"/>
      <c r="Q1" s="17"/>
      <c r="R1" s="18"/>
    </row>
    <row r="2" spans="1:18">
      <c r="F2" s="15" t="s">
        <v>160</v>
      </c>
      <c r="G2" s="15"/>
      <c r="H2" s="15" t="s">
        <v>161</v>
      </c>
      <c r="I2" s="15"/>
      <c r="J2" s="15" t="s">
        <v>162</v>
      </c>
      <c r="K2" s="15"/>
      <c r="L2" s="15" t="s">
        <v>163</v>
      </c>
      <c r="M2" s="15"/>
      <c r="N2" s="15" t="s">
        <v>164</v>
      </c>
      <c r="O2" s="15"/>
    </row>
  </sheetData>
  <mergeCells count="12">
    <mergeCell ref="P1:R1"/>
    <mergeCell ref="A1:E1"/>
    <mergeCell ref="F1:G1"/>
    <mergeCell ref="H1:I1"/>
    <mergeCell ref="J1:K1"/>
    <mergeCell ref="L1:M1"/>
    <mergeCell ref="N1:O1"/>
    <mergeCell ref="F2:G2"/>
    <mergeCell ref="H2:I2"/>
    <mergeCell ref="J2:K2"/>
    <mergeCell ref="L2:M2"/>
    <mergeCell ref="N2:O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7FABC-0D0C-4486-AFF7-A1DCDCA38199}">
  <sheetPr>
    <tabColor rgb="FF00B0F0"/>
  </sheetPr>
  <dimension ref="A1"/>
  <sheetViews>
    <sheetView workbookViewId="0">
      <selection activeCell="F29" sqref="F29"/>
    </sheetView>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5303C-431D-4268-8D11-93D6048C74BB}">
  <sheetPr>
    <tabColor rgb="FF7030A0"/>
  </sheetPr>
  <dimension ref="A1"/>
  <sheetViews>
    <sheetView workbookViewId="0">
      <selection activeCell="H21" sqref="H21"/>
    </sheetView>
  </sheetViews>
  <sheetFormatPr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949B-1207-4DC0-81AB-8153D4A37985}">
  <sheetPr>
    <tabColor rgb="FF00B050"/>
  </sheetPr>
  <dimension ref="A1:K28"/>
  <sheetViews>
    <sheetView workbookViewId="0">
      <selection activeCell="J27" sqref="J27"/>
    </sheetView>
  </sheetViews>
  <sheetFormatPr defaultRowHeight="15"/>
  <cols>
    <col min="1" max="1" width="22.85546875" bestFit="1" customWidth="1"/>
    <col min="2" max="2" width="8.28515625" bestFit="1" customWidth="1"/>
    <col min="4" max="4" width="22.85546875" bestFit="1" customWidth="1"/>
    <col min="5" max="5" width="9.7109375" bestFit="1" customWidth="1"/>
    <col min="7" max="7" width="13.7109375" bestFit="1" customWidth="1"/>
    <col min="8" max="8" width="22.85546875" bestFit="1" customWidth="1"/>
    <col min="10" max="10" width="22.85546875" bestFit="1" customWidth="1"/>
    <col min="11" max="11" width="11.140625" bestFit="1" customWidth="1"/>
  </cols>
  <sheetData>
    <row r="1" spans="1:11">
      <c r="A1" s="9" t="s">
        <v>6</v>
      </c>
      <c r="B1" t="s" vm="1">
        <v>166</v>
      </c>
      <c r="D1" s="9" t="s">
        <v>6</v>
      </c>
      <c r="E1" t="s" vm="2">
        <v>167</v>
      </c>
      <c r="G1" s="9" t="s">
        <v>6</v>
      </c>
      <c r="H1" t="s" vm="2">
        <v>167</v>
      </c>
      <c r="J1" s="9" t="s">
        <v>6</v>
      </c>
      <c r="K1" t="s" vm="2">
        <v>167</v>
      </c>
    </row>
    <row r="2" spans="1:11">
      <c r="G2" s="9" t="s">
        <v>9</v>
      </c>
      <c r="H2" t="s" vm="3">
        <v>42</v>
      </c>
      <c r="J2" s="9" t="s">
        <v>9</v>
      </c>
      <c r="K2" t="s" vm="4">
        <v>34</v>
      </c>
    </row>
    <row r="3" spans="1:11">
      <c r="A3" t="s">
        <v>165</v>
      </c>
      <c r="D3" t="s">
        <v>165</v>
      </c>
    </row>
    <row r="4" spans="1:11">
      <c r="A4" s="10">
        <v>99</v>
      </c>
      <c r="D4" s="10">
        <v>17</v>
      </c>
      <c r="G4" t="s">
        <v>165</v>
      </c>
      <c r="J4" t="s">
        <v>165</v>
      </c>
    </row>
    <row r="5" spans="1:11">
      <c r="G5" s="10">
        <v>2</v>
      </c>
      <c r="J5" s="10">
        <v>15</v>
      </c>
    </row>
    <row r="7" spans="1:11">
      <c r="A7" s="11" t="s">
        <v>168</v>
      </c>
      <c r="B7" s="11">
        <v>116</v>
      </c>
    </row>
    <row r="8" spans="1:11">
      <c r="A8" s="11" t="s">
        <v>169</v>
      </c>
      <c r="B8" s="11">
        <f>GETPIVOTDATA("[Measures].[Count of Employee Name]",$A$3)</f>
        <v>99</v>
      </c>
    </row>
    <row r="9" spans="1:11">
      <c r="A9" s="11" t="s">
        <v>164</v>
      </c>
      <c r="B9" s="12">
        <f>GETPIVOTDATA("[Measures].[Count of Employee Name]",$J$4)/((B7+B8)/2)</f>
        <v>0.13953488372093023</v>
      </c>
    </row>
    <row r="12" spans="1:11">
      <c r="A12" s="9" t="s">
        <v>6</v>
      </c>
      <c r="B12" t="s" vm="2">
        <v>167</v>
      </c>
      <c r="D12" s="9" t="s">
        <v>6</v>
      </c>
      <c r="E12" t="s" vm="2">
        <v>167</v>
      </c>
      <c r="G12" s="9" t="s">
        <v>6</v>
      </c>
      <c r="H12" t="s" vm="2">
        <v>167</v>
      </c>
    </row>
    <row r="13" spans="1:11">
      <c r="A13" s="9" t="s">
        <v>9</v>
      </c>
      <c r="B13" t="s" vm="4">
        <v>34</v>
      </c>
      <c r="D13" s="9" t="s">
        <v>9</v>
      </c>
      <c r="E13" t="s" vm="4">
        <v>34</v>
      </c>
      <c r="G13" s="9" t="s">
        <v>9</v>
      </c>
      <c r="H13" t="s" vm="4">
        <v>34</v>
      </c>
    </row>
    <row r="15" spans="1:11">
      <c r="A15" s="9" t="s">
        <v>173</v>
      </c>
      <c r="B15" t="s">
        <v>165</v>
      </c>
      <c r="D15" s="9" t="s">
        <v>173</v>
      </c>
      <c r="E15" t="s">
        <v>165</v>
      </c>
      <c r="G15" s="9" t="s">
        <v>173</v>
      </c>
      <c r="H15" t="s">
        <v>165</v>
      </c>
    </row>
    <row r="16" spans="1:11">
      <c r="A16" s="13" t="s">
        <v>172</v>
      </c>
      <c r="B16" s="10">
        <v>5</v>
      </c>
      <c r="D16" s="13" t="s">
        <v>72</v>
      </c>
      <c r="E16" s="10">
        <v>9</v>
      </c>
      <c r="G16" s="13">
        <v>2025</v>
      </c>
      <c r="H16" s="10"/>
    </row>
    <row r="17" spans="1:8">
      <c r="A17" s="13" t="s">
        <v>171</v>
      </c>
      <c r="B17" s="10">
        <v>7</v>
      </c>
      <c r="D17" s="13" t="s">
        <v>129</v>
      </c>
      <c r="E17" s="10">
        <v>2</v>
      </c>
      <c r="G17" s="14" t="s">
        <v>175</v>
      </c>
      <c r="H17" s="10">
        <v>1</v>
      </c>
    </row>
    <row r="18" spans="1:8">
      <c r="A18" s="13" t="s">
        <v>170</v>
      </c>
      <c r="B18" s="10">
        <v>3</v>
      </c>
      <c r="D18" s="13" t="s">
        <v>35</v>
      </c>
      <c r="E18" s="10">
        <v>2</v>
      </c>
      <c r="G18" s="14" t="s">
        <v>176</v>
      </c>
      <c r="H18" s="10">
        <v>1</v>
      </c>
    </row>
    <row r="19" spans="1:8">
      <c r="A19" s="13" t="s">
        <v>174</v>
      </c>
      <c r="B19" s="10">
        <v>15</v>
      </c>
      <c r="D19" s="13" t="s">
        <v>38</v>
      </c>
      <c r="E19" s="10">
        <v>2</v>
      </c>
      <c r="G19" s="14" t="s">
        <v>177</v>
      </c>
      <c r="H19" s="10">
        <v>1</v>
      </c>
    </row>
    <row r="20" spans="1:8">
      <c r="D20" s="13" t="s">
        <v>174</v>
      </c>
      <c r="E20" s="10">
        <v>15</v>
      </c>
      <c r="G20" s="14" t="s">
        <v>178</v>
      </c>
      <c r="H20" s="10">
        <v>1</v>
      </c>
    </row>
    <row r="21" spans="1:8">
      <c r="G21" s="14" t="s">
        <v>179</v>
      </c>
      <c r="H21" s="10">
        <v>2</v>
      </c>
    </row>
    <row r="22" spans="1:8">
      <c r="G22" s="14" t="s">
        <v>180</v>
      </c>
      <c r="H22" s="10">
        <v>3</v>
      </c>
    </row>
    <row r="23" spans="1:8">
      <c r="G23" s="14" t="s">
        <v>181</v>
      </c>
      <c r="H23" s="10">
        <v>2</v>
      </c>
    </row>
    <row r="24" spans="1:8">
      <c r="G24" s="14" t="s">
        <v>182</v>
      </c>
      <c r="H24" s="10">
        <v>1</v>
      </c>
    </row>
    <row r="25" spans="1:8">
      <c r="G25" s="14" t="s">
        <v>183</v>
      </c>
      <c r="H25" s="10">
        <v>1</v>
      </c>
    </row>
    <row r="26" spans="1:8">
      <c r="G26" s="14" t="s">
        <v>184</v>
      </c>
      <c r="H26" s="10">
        <v>1</v>
      </c>
    </row>
    <row r="27" spans="1:8">
      <c r="G27" s="14" t="s">
        <v>185</v>
      </c>
      <c r="H27" s="10">
        <v>1</v>
      </c>
    </row>
    <row r="28" spans="1:8">
      <c r="G28" s="13" t="s">
        <v>174</v>
      </c>
      <c r="H28" s="10">
        <v>15</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7"/>
  <sheetViews>
    <sheetView tabSelected="1" workbookViewId="0">
      <selection activeCell="J8" sqref="J8"/>
    </sheetView>
  </sheetViews>
  <sheetFormatPr defaultRowHeight="15"/>
  <cols>
    <col min="1" max="1" width="5.42578125" bestFit="1" customWidth="1"/>
    <col min="2" max="2" width="13.85546875" bestFit="1" customWidth="1"/>
    <col min="3" max="3" width="17.85546875" bestFit="1" customWidth="1"/>
    <col min="4" max="4" width="7" customWidth="1"/>
    <col min="5" max="5" width="5.85546875" customWidth="1"/>
    <col min="6" max="11" width="11.140625" customWidth="1"/>
    <col min="12" max="12" width="13.42578125" customWidth="1"/>
    <col min="13" max="13" width="9" bestFit="1" customWidth="1"/>
    <col min="14" max="14" width="14.7109375" bestFit="1" customWidth="1"/>
  </cols>
  <sheetData>
    <row r="1" spans="1:15">
      <c r="A1" s="1" t="s">
        <v>0</v>
      </c>
      <c r="B1" s="1" t="s">
        <v>1</v>
      </c>
      <c r="C1" s="1" t="s">
        <v>2</v>
      </c>
      <c r="D1" s="1" t="s">
        <v>3</v>
      </c>
      <c r="E1" s="1" t="s">
        <v>4</v>
      </c>
      <c r="F1" s="1" t="s">
        <v>5</v>
      </c>
      <c r="G1" s="8" t="s">
        <v>6</v>
      </c>
      <c r="H1" s="1" t="s">
        <v>7</v>
      </c>
      <c r="I1" s="1" t="s">
        <v>8</v>
      </c>
      <c r="J1" s="1" t="s">
        <v>9</v>
      </c>
      <c r="K1" s="1" t="s">
        <v>10</v>
      </c>
      <c r="L1" s="1" t="s">
        <v>11</v>
      </c>
      <c r="M1" s="8" t="s">
        <v>12</v>
      </c>
      <c r="N1" s="8" t="s">
        <v>13</v>
      </c>
      <c r="O1" s="7"/>
    </row>
    <row r="2" spans="1:15">
      <c r="A2" s="2">
        <v>1</v>
      </c>
      <c r="B2" s="2">
        <v>10104</v>
      </c>
      <c r="C2" t="s">
        <v>14</v>
      </c>
      <c r="D2" s="3" t="s">
        <v>15</v>
      </c>
      <c r="E2" t="s">
        <v>16</v>
      </c>
      <c r="F2" s="3" t="s">
        <v>17</v>
      </c>
      <c r="G2" s="3" t="str">
        <f>IF(ISBLANK(Exit_Data[[#This Row],[Exit Date]]),"Active","Inactive")</f>
        <v>Active</v>
      </c>
      <c r="H2" s="5">
        <v>43905</v>
      </c>
      <c r="I2" s="5"/>
      <c r="K2" s="3"/>
      <c r="L2" t="s">
        <v>18</v>
      </c>
      <c r="M2" s="6">
        <f ca="1">(TODAY()-Exit_Data[[#This Row],[DOJ]])/365.25</f>
        <v>6.2970568104038334</v>
      </c>
      <c r="N2" t="str">
        <f ca="1">_xlfn.IFS(Exit_Data[[#This Row],[Tenure]]&gt;9,"9+ Yrs",Exit_Data[[#This Row],[Tenure]]&gt;6,"6 to 9 Yrs",Exit_Data[[#This Row],[Tenure]]&gt;3,"3 to 6 Yrs",Exit_Data[[#This Row],[Tenure]]&gt;1,"1 to 3 Yrs",Exit_Data[[#This Row],[Tenure]]&gt;0,"0 to 1 Yr")</f>
        <v>6 to 9 Yrs</v>
      </c>
    </row>
    <row r="3" spans="1:15">
      <c r="A3" s="2">
        <v>2</v>
      </c>
      <c r="B3" s="2">
        <v>10105</v>
      </c>
      <c r="C3" t="s">
        <v>19</v>
      </c>
      <c r="D3" s="3" t="s">
        <v>20</v>
      </c>
      <c r="E3" t="s">
        <v>21</v>
      </c>
      <c r="F3" s="3" t="s">
        <v>22</v>
      </c>
      <c r="G3" s="3" t="str">
        <f>IF(ISBLANK(Exit_Data[[#This Row],[Exit Date]]),"Active","Inactive")</f>
        <v>Active</v>
      </c>
      <c r="H3" s="5">
        <v>44399</v>
      </c>
      <c r="I3" s="5"/>
      <c r="K3" s="3"/>
      <c r="L3" t="s">
        <v>23</v>
      </c>
      <c r="M3" s="6">
        <f ca="1">(TODAY()-Exit_Data[[#This Row],[DOJ]])/365.25</f>
        <v>4.944558521560575</v>
      </c>
      <c r="N3" t="str">
        <f ca="1">_xlfn.IFS(Exit_Data[[#This Row],[Tenure]]&gt;9,"9+ Yrs",Exit_Data[[#This Row],[Tenure]]&gt;6,"6 to 9 Yrs",Exit_Data[[#This Row],[Tenure]]&gt;3,"3 to 6 Yrs",Exit_Data[[#This Row],[Tenure]]&gt;1,"1 to 3 Yrs",Exit_Data[[#This Row],[Tenure]]&gt;0,"0 to 1 Yr")</f>
        <v>3 to 6 Yrs</v>
      </c>
    </row>
    <row r="4" spans="1:15">
      <c r="A4" s="2">
        <v>3</v>
      </c>
      <c r="B4" s="2">
        <v>10106</v>
      </c>
      <c r="C4" t="s">
        <v>24</v>
      </c>
      <c r="D4" s="3" t="s">
        <v>15</v>
      </c>
      <c r="E4" t="s">
        <v>16</v>
      </c>
      <c r="F4" s="3" t="s">
        <v>25</v>
      </c>
      <c r="G4" s="3" t="str">
        <f>IF(ISBLANK(Exit_Data[[#This Row],[Exit Date]]),"Active","Inactive")</f>
        <v>Active</v>
      </c>
      <c r="H4" s="5">
        <v>44571</v>
      </c>
      <c r="I4" s="5"/>
      <c r="K4" s="3"/>
      <c r="L4" t="s">
        <v>26</v>
      </c>
      <c r="M4" s="6">
        <f ca="1">(TODAY()-Exit_Data[[#This Row],[DOJ]])/365.25</f>
        <v>4.473648186173854</v>
      </c>
      <c r="N4" t="str">
        <f ca="1">_xlfn.IFS(Exit_Data[[#This Row],[Tenure]]&gt;9,"9+ Yrs",Exit_Data[[#This Row],[Tenure]]&gt;6,"6 to 9 Yrs",Exit_Data[[#This Row],[Tenure]]&gt;3,"3 to 6 Yrs",Exit_Data[[#This Row],[Tenure]]&gt;1,"1 to 3 Yrs",Exit_Data[[#This Row],[Tenure]]&gt;0,"0 to 1 Yr")</f>
        <v>3 to 6 Yrs</v>
      </c>
    </row>
    <row r="5" spans="1:15">
      <c r="A5" s="2">
        <v>4</v>
      </c>
      <c r="B5" s="2">
        <v>10107</v>
      </c>
      <c r="C5" t="s">
        <v>27</v>
      </c>
      <c r="D5" s="3" t="s">
        <v>20</v>
      </c>
      <c r="E5" t="s">
        <v>21</v>
      </c>
      <c r="F5" s="3" t="s">
        <v>28</v>
      </c>
      <c r="G5" s="3" t="str">
        <f>IF(ISBLANK(Exit_Data[[#This Row],[Exit Date]]),"Active","Inactive")</f>
        <v>Active</v>
      </c>
      <c r="H5" s="5">
        <v>45782</v>
      </c>
      <c r="I5" s="5"/>
      <c r="K5" s="3"/>
      <c r="L5" t="s">
        <v>29</v>
      </c>
      <c r="M5" s="6">
        <f ca="1">(TODAY()-Exit_Data[[#This Row],[DOJ]])/365.25</f>
        <v>1.1581108829568789</v>
      </c>
      <c r="N5" t="str">
        <f ca="1">_xlfn.IFS(Exit_Data[[#This Row],[Tenure]]&gt;9,"9+ Yrs",Exit_Data[[#This Row],[Tenure]]&gt;6,"6 to 9 Yrs",Exit_Data[[#This Row],[Tenure]]&gt;3,"3 to 6 Yrs",Exit_Data[[#This Row],[Tenure]]&gt;1,"1 to 3 Yrs",Exit_Data[[#This Row],[Tenure]]&gt;0,"0 to 1 Yr")</f>
        <v>1 to 3 Yrs</v>
      </c>
    </row>
    <row r="6" spans="1:15">
      <c r="A6" s="2">
        <v>5</v>
      </c>
      <c r="B6" s="2">
        <v>10108</v>
      </c>
      <c r="C6" t="s">
        <v>30</v>
      </c>
      <c r="D6" s="3" t="s">
        <v>15</v>
      </c>
      <c r="E6" t="s">
        <v>16</v>
      </c>
      <c r="F6" s="3" t="s">
        <v>17</v>
      </c>
      <c r="G6" s="3" t="str">
        <f>IF(ISBLANK(Exit_Data[[#This Row],[Exit Date]]),"Active","Inactive")</f>
        <v>Active</v>
      </c>
      <c r="H6" s="5">
        <v>45156</v>
      </c>
      <c r="I6" s="5"/>
      <c r="K6" s="3"/>
      <c r="L6" t="s">
        <v>18</v>
      </c>
      <c r="M6" s="6">
        <f ca="1">(TODAY()-Exit_Data[[#This Row],[DOJ]])/365.25</f>
        <v>2.8720054757015743</v>
      </c>
      <c r="N6" t="str">
        <f ca="1">_xlfn.IFS(Exit_Data[[#This Row],[Tenure]]&gt;9,"9+ Yrs",Exit_Data[[#This Row],[Tenure]]&gt;6,"6 to 9 Yrs",Exit_Data[[#This Row],[Tenure]]&gt;3,"3 to 6 Yrs",Exit_Data[[#This Row],[Tenure]]&gt;1,"1 to 3 Yrs",Exit_Data[[#This Row],[Tenure]]&gt;0,"0 to 1 Yr")</f>
        <v>1 to 3 Yrs</v>
      </c>
    </row>
    <row r="7" spans="1:15">
      <c r="A7" s="2">
        <v>6</v>
      </c>
      <c r="B7" s="2">
        <v>10109</v>
      </c>
      <c r="C7" t="s">
        <v>31</v>
      </c>
      <c r="D7" s="3" t="s">
        <v>15</v>
      </c>
      <c r="E7" t="s">
        <v>32</v>
      </c>
      <c r="F7" s="3" t="s">
        <v>28</v>
      </c>
      <c r="G7" s="3" t="str">
        <f>IF(ISBLANK(Exit_Data[[#This Row],[Exit Date]]),"Active","Inactive")</f>
        <v>Active</v>
      </c>
      <c r="H7" s="5">
        <v>44239</v>
      </c>
      <c r="I7" s="5"/>
      <c r="K7" s="3"/>
      <c r="L7" t="s">
        <v>29</v>
      </c>
      <c r="M7" s="6">
        <f ca="1">(TODAY()-Exit_Data[[#This Row],[DOJ]])/365.25</f>
        <v>5.3826146475017111</v>
      </c>
      <c r="N7" t="str">
        <f ca="1">_xlfn.IFS(Exit_Data[[#This Row],[Tenure]]&gt;9,"9+ Yrs",Exit_Data[[#This Row],[Tenure]]&gt;6,"6 to 9 Yrs",Exit_Data[[#This Row],[Tenure]]&gt;3,"3 to 6 Yrs",Exit_Data[[#This Row],[Tenure]]&gt;1,"1 to 3 Yrs",Exit_Data[[#This Row],[Tenure]]&gt;0,"0 to 1 Yr")</f>
        <v>3 to 6 Yrs</v>
      </c>
    </row>
    <row r="8" spans="1:15">
      <c r="A8" s="2">
        <v>7</v>
      </c>
      <c r="B8" s="2">
        <v>10110</v>
      </c>
      <c r="C8" t="s">
        <v>33</v>
      </c>
      <c r="D8" s="3" t="s">
        <v>20</v>
      </c>
      <c r="E8" t="s">
        <v>32</v>
      </c>
      <c r="F8" s="3" t="s">
        <v>17</v>
      </c>
      <c r="G8" s="3" t="str">
        <f>IF(ISBLANK(Exit_Data[[#This Row],[Exit Date]]),"Active","Inactive")</f>
        <v>Inactive</v>
      </c>
      <c r="H8" s="5">
        <v>44104</v>
      </c>
      <c r="I8" s="5">
        <v>45823</v>
      </c>
      <c r="J8" s="5" t="s">
        <v>34</v>
      </c>
      <c r="K8" s="3" t="s">
        <v>35</v>
      </c>
      <c r="L8" t="s">
        <v>36</v>
      </c>
      <c r="M8" s="6">
        <f ca="1">(TODAY()-Exit_Data[[#This Row],[DOJ]])/365.25</f>
        <v>5.7522245037645447</v>
      </c>
      <c r="N8" t="str">
        <f ca="1">_xlfn.IFS(Exit_Data[[#This Row],[Tenure]]&gt;9,"9+ Yrs",Exit_Data[[#This Row],[Tenure]]&gt;6,"6 to 9 Yrs",Exit_Data[[#This Row],[Tenure]]&gt;3,"3 to 6 Yrs",Exit_Data[[#This Row],[Tenure]]&gt;1,"1 to 3 Yrs",Exit_Data[[#This Row],[Tenure]]&gt;0,"0 to 1 Yr")</f>
        <v>3 to 6 Yrs</v>
      </c>
    </row>
    <row r="9" spans="1:15">
      <c r="A9" s="2">
        <v>8</v>
      </c>
      <c r="B9" s="2">
        <v>10111</v>
      </c>
      <c r="C9" t="s">
        <v>37</v>
      </c>
      <c r="D9" s="3" t="s">
        <v>15</v>
      </c>
      <c r="E9" t="s">
        <v>32</v>
      </c>
      <c r="F9" s="3" t="s">
        <v>22</v>
      </c>
      <c r="G9" s="3" t="str">
        <f>IF(ISBLANK(Exit_Data[[#This Row],[Exit Date]]),"Active","Inactive")</f>
        <v>Inactive</v>
      </c>
      <c r="H9" s="5">
        <v>44876</v>
      </c>
      <c r="I9" s="5">
        <v>45667</v>
      </c>
      <c r="J9" s="5" t="s">
        <v>34</v>
      </c>
      <c r="K9" s="3" t="s">
        <v>38</v>
      </c>
      <c r="L9" t="s">
        <v>23</v>
      </c>
      <c r="M9" s="6">
        <f ca="1">(TODAY()-Exit_Data[[#This Row],[DOJ]])/365.25</f>
        <v>3.6386036960985626</v>
      </c>
      <c r="N9" t="str">
        <f ca="1">_xlfn.IFS(Exit_Data[[#This Row],[Tenure]]&gt;9,"9+ Yrs",Exit_Data[[#This Row],[Tenure]]&gt;6,"6 to 9 Yrs",Exit_Data[[#This Row],[Tenure]]&gt;3,"3 to 6 Yrs",Exit_Data[[#This Row],[Tenure]]&gt;1,"1 to 3 Yrs",Exit_Data[[#This Row],[Tenure]]&gt;0,"0 to 1 Yr")</f>
        <v>3 to 6 Yrs</v>
      </c>
    </row>
    <row r="10" spans="1:15">
      <c r="A10" s="2">
        <v>9</v>
      </c>
      <c r="B10" s="2">
        <v>10112</v>
      </c>
      <c r="C10" t="s">
        <v>39</v>
      </c>
      <c r="D10" s="3" t="s">
        <v>15</v>
      </c>
      <c r="E10" t="s">
        <v>32</v>
      </c>
      <c r="F10" s="3" t="s">
        <v>28</v>
      </c>
      <c r="G10" s="3" t="str">
        <f>IF(ISBLANK(Exit_Data[[#This Row],[Exit Date]]),"Active","Inactive")</f>
        <v>Active</v>
      </c>
      <c r="H10" s="5">
        <v>44190</v>
      </c>
      <c r="I10" s="5"/>
      <c r="K10" s="3"/>
      <c r="L10" t="s">
        <v>29</v>
      </c>
      <c r="M10" s="6">
        <f ca="1">(TODAY()-Exit_Data[[#This Row],[DOJ]])/365.25</f>
        <v>5.5167693360711842</v>
      </c>
      <c r="N10" t="str">
        <f ca="1">_xlfn.IFS(Exit_Data[[#This Row],[Tenure]]&gt;9,"9+ Yrs",Exit_Data[[#This Row],[Tenure]]&gt;6,"6 to 9 Yrs",Exit_Data[[#This Row],[Tenure]]&gt;3,"3 to 6 Yrs",Exit_Data[[#This Row],[Tenure]]&gt;1,"1 to 3 Yrs",Exit_Data[[#This Row],[Tenure]]&gt;0,"0 to 1 Yr")</f>
        <v>3 to 6 Yrs</v>
      </c>
    </row>
    <row r="11" spans="1:15">
      <c r="A11" s="2">
        <v>10</v>
      </c>
      <c r="B11" s="2">
        <v>10113</v>
      </c>
      <c r="C11" t="s">
        <v>40</v>
      </c>
      <c r="D11" s="3" t="s">
        <v>20</v>
      </c>
      <c r="E11" t="s">
        <v>41</v>
      </c>
      <c r="F11" s="3" t="s">
        <v>28</v>
      </c>
      <c r="G11" s="3" t="str">
        <f>IF(ISBLANK(Exit_Data[[#This Row],[Exit Date]]),"Active","Inactive")</f>
        <v>Inactive</v>
      </c>
      <c r="H11" s="5">
        <v>44300</v>
      </c>
      <c r="I11" s="5">
        <v>45915</v>
      </c>
      <c r="J11" t="s">
        <v>42</v>
      </c>
      <c r="K11" s="3" t="s">
        <v>43</v>
      </c>
      <c r="L11" t="s">
        <v>29</v>
      </c>
      <c r="M11" s="6">
        <f ca="1">(TODAY()-Exit_Data[[#This Row],[DOJ]])/365.25</f>
        <v>5.2156057494866532</v>
      </c>
      <c r="N11" t="str">
        <f ca="1">_xlfn.IFS(Exit_Data[[#This Row],[Tenure]]&gt;9,"9+ Yrs",Exit_Data[[#This Row],[Tenure]]&gt;6,"6 to 9 Yrs",Exit_Data[[#This Row],[Tenure]]&gt;3,"3 to 6 Yrs",Exit_Data[[#This Row],[Tenure]]&gt;1,"1 to 3 Yrs",Exit_Data[[#This Row],[Tenure]]&gt;0,"0 to 1 Yr")</f>
        <v>3 to 6 Yrs</v>
      </c>
    </row>
    <row r="12" spans="1:15">
      <c r="A12" s="2">
        <v>11</v>
      </c>
      <c r="B12" s="2">
        <v>10114</v>
      </c>
      <c r="C12" t="s">
        <v>44</v>
      </c>
      <c r="D12" s="3" t="s">
        <v>15</v>
      </c>
      <c r="E12" t="s">
        <v>21</v>
      </c>
      <c r="F12" s="3" t="s">
        <v>17</v>
      </c>
      <c r="G12" s="3" t="str">
        <f>IF(ISBLANK(Exit_Data[[#This Row],[Exit Date]]),"Active","Inactive")</f>
        <v>Active</v>
      </c>
      <c r="H12" s="5">
        <v>44988</v>
      </c>
      <c r="I12" s="5"/>
      <c r="K12" s="3"/>
      <c r="L12" t="s">
        <v>18</v>
      </c>
      <c r="M12" s="6">
        <f ca="1">(TODAY()-Exit_Data[[#This Row],[DOJ]])/365.25</f>
        <v>3.3319644079397674</v>
      </c>
      <c r="N12" t="str">
        <f ca="1">_xlfn.IFS(Exit_Data[[#This Row],[Tenure]]&gt;9,"9+ Yrs",Exit_Data[[#This Row],[Tenure]]&gt;6,"6 to 9 Yrs",Exit_Data[[#This Row],[Tenure]]&gt;3,"3 to 6 Yrs",Exit_Data[[#This Row],[Tenure]]&gt;1,"1 to 3 Yrs",Exit_Data[[#This Row],[Tenure]]&gt;0,"0 to 1 Yr")</f>
        <v>3 to 6 Yrs</v>
      </c>
    </row>
    <row r="13" spans="1:15">
      <c r="A13" s="2">
        <v>12</v>
      </c>
      <c r="B13" s="2">
        <v>10115</v>
      </c>
      <c r="C13" t="s">
        <v>45</v>
      </c>
      <c r="D13" s="3" t="s">
        <v>15</v>
      </c>
      <c r="E13" t="s">
        <v>41</v>
      </c>
      <c r="F13" s="3" t="s">
        <v>17</v>
      </c>
      <c r="G13" s="3" t="str">
        <f>IF(ISBLANK(Exit_Data[[#This Row],[Exit Date]]),"Active","Inactive")</f>
        <v>Active</v>
      </c>
      <c r="H13" s="5">
        <v>43839</v>
      </c>
      <c r="I13" s="5"/>
      <c r="J13" s="5"/>
      <c r="K13" s="3"/>
      <c r="L13" t="s">
        <v>18</v>
      </c>
      <c r="M13" s="6">
        <f ca="1">(TODAY()-Exit_Data[[#This Row],[DOJ]])/365.25</f>
        <v>6.4777549623545516</v>
      </c>
      <c r="N13" t="str">
        <f ca="1">_xlfn.IFS(Exit_Data[[#This Row],[Tenure]]&gt;9,"9+ Yrs",Exit_Data[[#This Row],[Tenure]]&gt;6,"6 to 9 Yrs",Exit_Data[[#This Row],[Tenure]]&gt;3,"3 to 6 Yrs",Exit_Data[[#This Row],[Tenure]]&gt;1,"1 to 3 Yrs",Exit_Data[[#This Row],[Tenure]]&gt;0,"0 to 1 Yr")</f>
        <v>6 to 9 Yrs</v>
      </c>
    </row>
    <row r="14" spans="1:15">
      <c r="A14" s="2">
        <v>13</v>
      </c>
      <c r="B14" s="2">
        <v>10116</v>
      </c>
      <c r="C14" t="s">
        <v>46</v>
      </c>
      <c r="D14" s="3" t="s">
        <v>20</v>
      </c>
      <c r="E14" t="s">
        <v>41</v>
      </c>
      <c r="F14" s="3" t="s">
        <v>22</v>
      </c>
      <c r="G14" s="3" t="str">
        <f>IF(ISBLANK(Exit_Data[[#This Row],[Exit Date]]),"Active","Inactive")</f>
        <v>Active</v>
      </c>
      <c r="H14" s="5">
        <v>44731</v>
      </c>
      <c r="I14" s="5"/>
      <c r="K14" s="3"/>
      <c r="L14" t="s">
        <v>23</v>
      </c>
      <c r="M14" s="6">
        <f ca="1">(TODAY()-Exit_Data[[#This Row],[DOJ]])/365.25</f>
        <v>4.0355920602327169</v>
      </c>
      <c r="N14" t="str">
        <f ca="1">_xlfn.IFS(Exit_Data[[#This Row],[Tenure]]&gt;9,"9+ Yrs",Exit_Data[[#This Row],[Tenure]]&gt;6,"6 to 9 Yrs",Exit_Data[[#This Row],[Tenure]]&gt;3,"3 to 6 Yrs",Exit_Data[[#This Row],[Tenure]]&gt;1,"1 to 3 Yrs",Exit_Data[[#This Row],[Tenure]]&gt;0,"0 to 1 Yr")</f>
        <v>3 to 6 Yrs</v>
      </c>
    </row>
    <row r="15" spans="1:15">
      <c r="A15" s="2">
        <v>14</v>
      </c>
      <c r="B15" s="2">
        <v>10117</v>
      </c>
      <c r="C15" t="s">
        <v>47</v>
      </c>
      <c r="D15" s="3" t="s">
        <v>20</v>
      </c>
      <c r="E15" t="s">
        <v>16</v>
      </c>
      <c r="F15" s="3" t="s">
        <v>17</v>
      </c>
      <c r="G15" s="3" t="str">
        <f>IF(ISBLANK(Exit_Data[[#This Row],[Exit Date]]),"Active","Inactive")</f>
        <v>Active</v>
      </c>
      <c r="H15" s="5">
        <v>44404</v>
      </c>
      <c r="I15" s="5"/>
      <c r="K15" s="3"/>
      <c r="L15" t="s">
        <v>18</v>
      </c>
      <c r="M15" s="6">
        <f ca="1">(TODAY()-Exit_Data[[#This Row],[DOJ]])/365.25</f>
        <v>4.9308692676249146</v>
      </c>
      <c r="N15" t="str">
        <f ca="1">_xlfn.IFS(Exit_Data[[#This Row],[Tenure]]&gt;9,"9+ Yrs",Exit_Data[[#This Row],[Tenure]]&gt;6,"6 to 9 Yrs",Exit_Data[[#This Row],[Tenure]]&gt;3,"3 to 6 Yrs",Exit_Data[[#This Row],[Tenure]]&gt;1,"1 to 3 Yrs",Exit_Data[[#This Row],[Tenure]]&gt;0,"0 to 1 Yr")</f>
        <v>3 to 6 Yrs</v>
      </c>
    </row>
    <row r="16" spans="1:15">
      <c r="A16" s="2">
        <v>15</v>
      </c>
      <c r="B16" s="2">
        <v>10118</v>
      </c>
      <c r="C16" t="s">
        <v>48</v>
      </c>
      <c r="D16" s="3" t="s">
        <v>15</v>
      </c>
      <c r="E16" t="s">
        <v>49</v>
      </c>
      <c r="F16" s="3" t="s">
        <v>22</v>
      </c>
      <c r="G16" s="3" t="str">
        <f>IF(ISBLANK(Exit_Data[[#This Row],[Exit Date]]),"Active","Inactive")</f>
        <v>Active</v>
      </c>
      <c r="H16" s="5">
        <v>44051</v>
      </c>
      <c r="I16" s="5"/>
      <c r="K16" s="3"/>
      <c r="L16" t="s">
        <v>23</v>
      </c>
      <c r="M16" s="6">
        <f ca="1">(TODAY()-Exit_Data[[#This Row],[DOJ]])/365.25</f>
        <v>5.8973305954825461</v>
      </c>
      <c r="N16" t="str">
        <f ca="1">_xlfn.IFS(Exit_Data[[#This Row],[Tenure]]&gt;9,"9+ Yrs",Exit_Data[[#This Row],[Tenure]]&gt;6,"6 to 9 Yrs",Exit_Data[[#This Row],[Tenure]]&gt;3,"3 to 6 Yrs",Exit_Data[[#This Row],[Tenure]]&gt;1,"1 to 3 Yrs",Exit_Data[[#This Row],[Tenure]]&gt;0,"0 to 1 Yr")</f>
        <v>3 to 6 Yrs</v>
      </c>
    </row>
    <row r="17" spans="1:14">
      <c r="A17" s="2">
        <v>16</v>
      </c>
      <c r="B17" s="2">
        <v>10119</v>
      </c>
      <c r="C17" t="s">
        <v>50</v>
      </c>
      <c r="D17" s="3" t="s">
        <v>20</v>
      </c>
      <c r="E17" t="s">
        <v>41</v>
      </c>
      <c r="F17" s="3" t="s">
        <v>28</v>
      </c>
      <c r="G17" s="3" t="str">
        <f>IF(ISBLANK(Exit_Data[[#This Row],[Exit Date]]),"Active","Inactive")</f>
        <v>Active</v>
      </c>
      <c r="H17" s="5">
        <v>45001</v>
      </c>
      <c r="I17" s="5"/>
      <c r="K17" s="3"/>
      <c r="L17" t="s">
        <v>51</v>
      </c>
      <c r="M17" s="6">
        <f ca="1">(TODAY()-Exit_Data[[#This Row],[DOJ]])/365.25</f>
        <v>3.2963723477070501</v>
      </c>
      <c r="N17" t="str">
        <f ca="1">_xlfn.IFS(Exit_Data[[#This Row],[Tenure]]&gt;9,"9+ Yrs",Exit_Data[[#This Row],[Tenure]]&gt;6,"6 to 9 Yrs",Exit_Data[[#This Row],[Tenure]]&gt;3,"3 to 6 Yrs",Exit_Data[[#This Row],[Tenure]]&gt;1,"1 to 3 Yrs",Exit_Data[[#This Row],[Tenure]]&gt;0,"0 to 1 Yr")</f>
        <v>3 to 6 Yrs</v>
      </c>
    </row>
    <row r="18" spans="1:14">
      <c r="A18" s="2">
        <v>17</v>
      </c>
      <c r="B18" s="2">
        <v>10120</v>
      </c>
      <c r="C18" t="s">
        <v>52</v>
      </c>
      <c r="D18" s="3" t="s">
        <v>15</v>
      </c>
      <c r="E18" t="s">
        <v>16</v>
      </c>
      <c r="F18" s="3" t="s">
        <v>17</v>
      </c>
      <c r="G18" s="3" t="str">
        <f>IF(ISBLANK(Exit_Data[[#This Row],[Exit Date]]),"Active","Inactive")</f>
        <v>Active</v>
      </c>
      <c r="H18" s="5">
        <v>43831</v>
      </c>
      <c r="I18" s="5"/>
      <c r="K18" s="3"/>
      <c r="L18" t="s">
        <v>18</v>
      </c>
      <c r="M18" s="6">
        <f ca="1">(TODAY()-Exit_Data[[#This Row],[DOJ]])/365.25</f>
        <v>6.4996577686516082</v>
      </c>
      <c r="N18" t="str">
        <f ca="1">_xlfn.IFS(Exit_Data[[#This Row],[Tenure]]&gt;9,"9+ Yrs",Exit_Data[[#This Row],[Tenure]]&gt;6,"6 to 9 Yrs",Exit_Data[[#This Row],[Tenure]]&gt;3,"3 to 6 Yrs",Exit_Data[[#This Row],[Tenure]]&gt;1,"1 to 3 Yrs",Exit_Data[[#This Row],[Tenure]]&gt;0,"0 to 1 Yr")</f>
        <v>6 to 9 Yrs</v>
      </c>
    </row>
    <row r="19" spans="1:14">
      <c r="A19" s="2">
        <v>18</v>
      </c>
      <c r="B19" s="2">
        <v>10121</v>
      </c>
      <c r="C19" t="s">
        <v>53</v>
      </c>
      <c r="D19" s="3" t="s">
        <v>20</v>
      </c>
      <c r="E19" t="s">
        <v>16</v>
      </c>
      <c r="F19" s="3" t="s">
        <v>17</v>
      </c>
      <c r="G19" s="3" t="str">
        <f>IF(ISBLANK(Exit_Data[[#This Row],[Exit Date]]),"Active","Inactive")</f>
        <v>Active</v>
      </c>
      <c r="H19" s="5">
        <v>44328</v>
      </c>
      <c r="I19" s="5"/>
      <c r="K19" s="3"/>
      <c r="L19" t="s">
        <v>36</v>
      </c>
      <c r="M19" s="6">
        <f ca="1">(TODAY()-Exit_Data[[#This Row],[DOJ]])/365.25</f>
        <v>5.1389459274469544</v>
      </c>
      <c r="N19" t="str">
        <f ca="1">_xlfn.IFS(Exit_Data[[#This Row],[Tenure]]&gt;9,"9+ Yrs",Exit_Data[[#This Row],[Tenure]]&gt;6,"6 to 9 Yrs",Exit_Data[[#This Row],[Tenure]]&gt;3,"3 to 6 Yrs",Exit_Data[[#This Row],[Tenure]]&gt;1,"1 to 3 Yrs",Exit_Data[[#This Row],[Tenure]]&gt;0,"0 to 1 Yr")</f>
        <v>3 to 6 Yrs</v>
      </c>
    </row>
    <row r="20" spans="1:14">
      <c r="A20" s="2">
        <v>19</v>
      </c>
      <c r="B20" s="2">
        <v>10122</v>
      </c>
      <c r="C20" t="s">
        <v>54</v>
      </c>
      <c r="D20" s="3" t="s">
        <v>20</v>
      </c>
      <c r="E20" t="s">
        <v>16</v>
      </c>
      <c r="F20" s="3" t="s">
        <v>22</v>
      </c>
      <c r="G20" s="3" t="str">
        <f>IF(ISBLANK(Exit_Data[[#This Row],[Exit Date]]),"Active","Inactive")</f>
        <v>Active</v>
      </c>
      <c r="H20" s="5">
        <v>44857</v>
      </c>
      <c r="I20" s="5"/>
      <c r="K20" s="3"/>
      <c r="L20" t="s">
        <v>23</v>
      </c>
      <c r="M20" s="6">
        <f ca="1">(TODAY()-Exit_Data[[#This Row],[DOJ]])/365.25</f>
        <v>3.6906228610540723</v>
      </c>
      <c r="N20" t="str">
        <f ca="1">_xlfn.IFS(Exit_Data[[#This Row],[Tenure]]&gt;9,"9+ Yrs",Exit_Data[[#This Row],[Tenure]]&gt;6,"6 to 9 Yrs",Exit_Data[[#This Row],[Tenure]]&gt;3,"3 to 6 Yrs",Exit_Data[[#This Row],[Tenure]]&gt;1,"1 to 3 Yrs",Exit_Data[[#This Row],[Tenure]]&gt;0,"0 to 1 Yr")</f>
        <v>3 to 6 Yrs</v>
      </c>
    </row>
    <row r="21" spans="1:14">
      <c r="A21" s="2">
        <v>20</v>
      </c>
      <c r="B21" s="2">
        <v>10123</v>
      </c>
      <c r="C21" t="s">
        <v>55</v>
      </c>
      <c r="D21" s="3" t="s">
        <v>20</v>
      </c>
      <c r="E21" t="s">
        <v>41</v>
      </c>
      <c r="F21" s="3" t="s">
        <v>22</v>
      </c>
      <c r="G21" s="3" t="str">
        <f>IF(ISBLANK(Exit_Data[[#This Row],[Exit Date]]),"Active","Inactive")</f>
        <v>Active</v>
      </c>
      <c r="H21" s="5">
        <v>45326</v>
      </c>
      <c r="I21" s="5"/>
      <c r="K21" s="3"/>
      <c r="L21" t="s">
        <v>23</v>
      </c>
      <c r="M21" s="6">
        <f ca="1">(TODAY()-Exit_Data[[#This Row],[DOJ]])/365.25</f>
        <v>2.406570841889117</v>
      </c>
      <c r="N21" t="str">
        <f ca="1">_xlfn.IFS(Exit_Data[[#This Row],[Tenure]]&gt;9,"9+ Yrs",Exit_Data[[#This Row],[Tenure]]&gt;6,"6 to 9 Yrs",Exit_Data[[#This Row],[Tenure]]&gt;3,"3 to 6 Yrs",Exit_Data[[#This Row],[Tenure]]&gt;1,"1 to 3 Yrs",Exit_Data[[#This Row],[Tenure]]&gt;0,"0 to 1 Yr")</f>
        <v>1 to 3 Yrs</v>
      </c>
    </row>
    <row r="22" spans="1:14">
      <c r="A22" s="2">
        <v>21</v>
      </c>
      <c r="B22" s="2">
        <v>10124</v>
      </c>
      <c r="C22" t="s">
        <v>56</v>
      </c>
      <c r="D22" s="3" t="s">
        <v>20</v>
      </c>
      <c r="E22" t="s">
        <v>41</v>
      </c>
      <c r="F22" s="3" t="s">
        <v>22</v>
      </c>
      <c r="G22" s="3" t="str">
        <f>IF(ISBLANK(Exit_Data[[#This Row],[Exit Date]]),"Active","Inactive")</f>
        <v>Active</v>
      </c>
      <c r="H22" s="5">
        <v>45289</v>
      </c>
      <c r="I22" s="5"/>
      <c r="K22" s="3"/>
      <c r="L22" t="s">
        <v>57</v>
      </c>
      <c r="M22" s="6">
        <f ca="1">(TODAY()-Exit_Data[[#This Row],[DOJ]])/365.25</f>
        <v>2.5078713210130048</v>
      </c>
      <c r="N22" t="str">
        <f ca="1">_xlfn.IFS(Exit_Data[[#This Row],[Tenure]]&gt;9,"9+ Yrs",Exit_Data[[#This Row],[Tenure]]&gt;6,"6 to 9 Yrs",Exit_Data[[#This Row],[Tenure]]&gt;3,"3 to 6 Yrs",Exit_Data[[#This Row],[Tenure]]&gt;1,"1 to 3 Yrs",Exit_Data[[#This Row],[Tenure]]&gt;0,"0 to 1 Yr")</f>
        <v>1 to 3 Yrs</v>
      </c>
    </row>
    <row r="23" spans="1:14">
      <c r="A23" s="2">
        <v>22</v>
      </c>
      <c r="B23" s="2">
        <v>10125</v>
      </c>
      <c r="C23" t="s">
        <v>58</v>
      </c>
      <c r="D23" s="3" t="s">
        <v>15</v>
      </c>
      <c r="E23" t="s">
        <v>49</v>
      </c>
      <c r="F23" s="3" t="s">
        <v>25</v>
      </c>
      <c r="G23" s="3" t="str">
        <f>IF(ISBLANK(Exit_Data[[#This Row],[Exit Date]]),"Active","Inactive")</f>
        <v>Active</v>
      </c>
      <c r="H23" s="5">
        <v>43999</v>
      </c>
      <c r="I23" s="5"/>
      <c r="K23" s="3"/>
      <c r="L23" t="s">
        <v>59</v>
      </c>
      <c r="M23" s="6">
        <f ca="1">(TODAY()-Exit_Data[[#This Row],[DOJ]])/365.25</f>
        <v>6.0396988364134154</v>
      </c>
      <c r="N23" t="str">
        <f ca="1">_xlfn.IFS(Exit_Data[[#This Row],[Tenure]]&gt;9,"9+ Yrs",Exit_Data[[#This Row],[Tenure]]&gt;6,"6 to 9 Yrs",Exit_Data[[#This Row],[Tenure]]&gt;3,"3 to 6 Yrs",Exit_Data[[#This Row],[Tenure]]&gt;1,"1 to 3 Yrs",Exit_Data[[#This Row],[Tenure]]&gt;0,"0 to 1 Yr")</f>
        <v>6 to 9 Yrs</v>
      </c>
    </row>
    <row r="24" spans="1:14">
      <c r="A24" s="2">
        <v>23</v>
      </c>
      <c r="B24" s="2">
        <v>10126</v>
      </c>
      <c r="C24" t="s">
        <v>60</v>
      </c>
      <c r="D24" s="3" t="s">
        <v>20</v>
      </c>
      <c r="E24" t="s">
        <v>32</v>
      </c>
      <c r="F24" s="3" t="s">
        <v>25</v>
      </c>
      <c r="G24" s="3" t="str">
        <f>IF(ISBLANK(Exit_Data[[#This Row],[Exit Date]]),"Active","Inactive")</f>
        <v>Active</v>
      </c>
      <c r="H24" s="5">
        <v>44263</v>
      </c>
      <c r="I24" s="5"/>
      <c r="K24" s="3"/>
      <c r="L24" t="s">
        <v>59</v>
      </c>
      <c r="M24" s="6">
        <f ca="1">(TODAY()-Exit_Data[[#This Row],[DOJ]])/365.25</f>
        <v>5.3169062286105406</v>
      </c>
      <c r="N24" t="str">
        <f ca="1">_xlfn.IFS(Exit_Data[[#This Row],[Tenure]]&gt;9,"9+ Yrs",Exit_Data[[#This Row],[Tenure]]&gt;6,"6 to 9 Yrs",Exit_Data[[#This Row],[Tenure]]&gt;3,"3 to 6 Yrs",Exit_Data[[#This Row],[Tenure]]&gt;1,"1 to 3 Yrs",Exit_Data[[#This Row],[Tenure]]&gt;0,"0 to 1 Yr")</f>
        <v>3 to 6 Yrs</v>
      </c>
    </row>
    <row r="25" spans="1:14">
      <c r="A25" s="2">
        <v>24</v>
      </c>
      <c r="B25" s="2">
        <v>10127</v>
      </c>
      <c r="C25" t="s">
        <v>61</v>
      </c>
      <c r="D25" s="3" t="s">
        <v>20</v>
      </c>
      <c r="E25" t="s">
        <v>21</v>
      </c>
      <c r="F25" s="3" t="s">
        <v>25</v>
      </c>
      <c r="G25" s="3" t="str">
        <f>IF(ISBLANK(Exit_Data[[#This Row],[Exit Date]]),"Active","Inactive")</f>
        <v>Active</v>
      </c>
      <c r="H25" s="5">
        <v>44146</v>
      </c>
      <c r="I25" s="5"/>
      <c r="K25" s="3"/>
      <c r="L25" t="s">
        <v>62</v>
      </c>
      <c r="M25" s="6">
        <f ca="1">(TODAY()-Exit_Data[[#This Row],[DOJ]])/365.25</f>
        <v>5.637234770704997</v>
      </c>
      <c r="N25" t="str">
        <f ca="1">_xlfn.IFS(Exit_Data[[#This Row],[Tenure]]&gt;9,"9+ Yrs",Exit_Data[[#This Row],[Tenure]]&gt;6,"6 to 9 Yrs",Exit_Data[[#This Row],[Tenure]]&gt;3,"3 to 6 Yrs",Exit_Data[[#This Row],[Tenure]]&gt;1,"1 to 3 Yrs",Exit_Data[[#This Row],[Tenure]]&gt;0,"0 to 1 Yr")</f>
        <v>3 to 6 Yrs</v>
      </c>
    </row>
    <row r="26" spans="1:14">
      <c r="A26" s="2">
        <v>25</v>
      </c>
      <c r="B26" s="2">
        <v>10128</v>
      </c>
      <c r="C26" t="s">
        <v>63</v>
      </c>
      <c r="D26" s="3" t="s">
        <v>20</v>
      </c>
      <c r="E26" t="s">
        <v>49</v>
      </c>
      <c r="F26" s="3" t="s">
        <v>17</v>
      </c>
      <c r="G26" s="3" t="str">
        <f>IF(ISBLANK(Exit_Data[[#This Row],[Exit Date]]),"Active","Inactive")</f>
        <v>Active</v>
      </c>
      <c r="H26" s="5">
        <v>44582</v>
      </c>
      <c r="I26" s="5"/>
      <c r="K26" s="3"/>
      <c r="L26" t="s">
        <v>18</v>
      </c>
      <c r="M26" s="6">
        <f ca="1">(TODAY()-Exit_Data[[#This Row],[DOJ]])/365.25</f>
        <v>4.4435318275154003</v>
      </c>
      <c r="N26" t="str">
        <f ca="1">_xlfn.IFS(Exit_Data[[#This Row],[Tenure]]&gt;9,"9+ Yrs",Exit_Data[[#This Row],[Tenure]]&gt;6,"6 to 9 Yrs",Exit_Data[[#This Row],[Tenure]]&gt;3,"3 to 6 Yrs",Exit_Data[[#This Row],[Tenure]]&gt;1,"1 to 3 Yrs",Exit_Data[[#This Row],[Tenure]]&gt;0,"0 to 1 Yr")</f>
        <v>3 to 6 Yrs</v>
      </c>
    </row>
    <row r="27" spans="1:14">
      <c r="A27" s="2">
        <v>26</v>
      </c>
      <c r="B27" s="2">
        <v>10129</v>
      </c>
      <c r="C27" t="s">
        <v>64</v>
      </c>
      <c r="D27" s="3" t="s">
        <v>15</v>
      </c>
      <c r="E27" t="s">
        <v>21</v>
      </c>
      <c r="F27" s="3" t="s">
        <v>28</v>
      </c>
      <c r="G27" s="3" t="str">
        <f>IF(ISBLANK(Exit_Data[[#This Row],[Exit Date]]),"Active","Inactive")</f>
        <v>Active</v>
      </c>
      <c r="H27" s="5">
        <v>45061</v>
      </c>
      <c r="I27" s="5"/>
      <c r="K27" s="3"/>
      <c r="L27" t="s">
        <v>51</v>
      </c>
      <c r="M27" s="6">
        <f ca="1">(TODAY()-Exit_Data[[#This Row],[DOJ]])/365.25</f>
        <v>3.1321013004791238</v>
      </c>
      <c r="N27" t="str">
        <f ca="1">_xlfn.IFS(Exit_Data[[#This Row],[Tenure]]&gt;9,"9+ Yrs",Exit_Data[[#This Row],[Tenure]]&gt;6,"6 to 9 Yrs",Exit_Data[[#This Row],[Tenure]]&gt;3,"3 to 6 Yrs",Exit_Data[[#This Row],[Tenure]]&gt;1,"1 to 3 Yrs",Exit_Data[[#This Row],[Tenure]]&gt;0,"0 to 1 Yr")</f>
        <v>3 to 6 Yrs</v>
      </c>
    </row>
    <row r="28" spans="1:14">
      <c r="A28" s="2">
        <v>27</v>
      </c>
      <c r="B28" s="2">
        <v>10130</v>
      </c>
      <c r="C28" t="s">
        <v>65</v>
      </c>
      <c r="D28" s="3" t="s">
        <v>15</v>
      </c>
      <c r="E28" t="s">
        <v>49</v>
      </c>
      <c r="F28" s="3" t="s">
        <v>17</v>
      </c>
      <c r="G28" s="3" t="str">
        <f>IF(ISBLANK(Exit_Data[[#This Row],[Exit Date]]),"Active","Inactive")</f>
        <v>Active</v>
      </c>
      <c r="H28" s="5">
        <v>44031</v>
      </c>
      <c r="I28" s="5"/>
      <c r="K28" s="3"/>
      <c r="L28" t="s">
        <v>18</v>
      </c>
      <c r="M28" s="6">
        <f ca="1">(TODAY()-Exit_Data[[#This Row],[DOJ]])/365.25</f>
        <v>5.9520876112251884</v>
      </c>
      <c r="N28" t="str">
        <f ca="1">_xlfn.IFS(Exit_Data[[#This Row],[Tenure]]&gt;9,"9+ Yrs",Exit_Data[[#This Row],[Tenure]]&gt;6,"6 to 9 Yrs",Exit_Data[[#This Row],[Tenure]]&gt;3,"3 to 6 Yrs",Exit_Data[[#This Row],[Tenure]]&gt;1,"1 to 3 Yrs",Exit_Data[[#This Row],[Tenure]]&gt;0,"0 to 1 Yr")</f>
        <v>3 to 6 Yrs</v>
      </c>
    </row>
    <row r="29" spans="1:14">
      <c r="A29" s="2">
        <v>28</v>
      </c>
      <c r="B29" s="2">
        <v>10131</v>
      </c>
      <c r="C29" t="s">
        <v>66</v>
      </c>
      <c r="D29" s="3" t="s">
        <v>15</v>
      </c>
      <c r="E29" t="s">
        <v>41</v>
      </c>
      <c r="F29" s="3" t="s">
        <v>22</v>
      </c>
      <c r="G29" s="3" t="str">
        <f>IF(ISBLANK(Exit_Data[[#This Row],[Exit Date]]),"Active","Inactive")</f>
        <v>Active</v>
      </c>
      <c r="H29" s="5">
        <v>44442</v>
      </c>
      <c r="I29" s="5"/>
      <c r="K29" s="3"/>
      <c r="L29" t="s">
        <v>57</v>
      </c>
      <c r="M29" s="6">
        <f ca="1">(TODAY()-Exit_Data[[#This Row],[DOJ]])/365.25</f>
        <v>4.8268309377138943</v>
      </c>
      <c r="N29" t="str">
        <f ca="1">_xlfn.IFS(Exit_Data[[#This Row],[Tenure]]&gt;9,"9+ Yrs",Exit_Data[[#This Row],[Tenure]]&gt;6,"6 to 9 Yrs",Exit_Data[[#This Row],[Tenure]]&gt;3,"3 to 6 Yrs",Exit_Data[[#This Row],[Tenure]]&gt;1,"1 to 3 Yrs",Exit_Data[[#This Row],[Tenure]]&gt;0,"0 to 1 Yr")</f>
        <v>3 to 6 Yrs</v>
      </c>
    </row>
    <row r="30" spans="1:14">
      <c r="A30" s="2">
        <v>29</v>
      </c>
      <c r="B30" s="2">
        <v>10132</v>
      </c>
      <c r="C30" t="s">
        <v>67</v>
      </c>
      <c r="D30" s="3" t="s">
        <v>15</v>
      </c>
      <c r="E30" t="s">
        <v>49</v>
      </c>
      <c r="F30" s="3" t="s">
        <v>22</v>
      </c>
      <c r="G30" s="3" t="str">
        <f>IF(ISBLANK(Exit_Data[[#This Row],[Exit Date]]),"Active","Inactive")</f>
        <v>Active</v>
      </c>
      <c r="H30" s="5">
        <v>44677</v>
      </c>
      <c r="I30" s="5"/>
      <c r="K30" s="3"/>
      <c r="L30" t="s">
        <v>57</v>
      </c>
      <c r="M30" s="6">
        <f ca="1">(TODAY()-Exit_Data[[#This Row],[DOJ]])/365.25</f>
        <v>4.1834360027378512</v>
      </c>
      <c r="N30" t="str">
        <f ca="1">_xlfn.IFS(Exit_Data[[#This Row],[Tenure]]&gt;9,"9+ Yrs",Exit_Data[[#This Row],[Tenure]]&gt;6,"6 to 9 Yrs",Exit_Data[[#This Row],[Tenure]]&gt;3,"3 to 6 Yrs",Exit_Data[[#This Row],[Tenure]]&gt;1,"1 to 3 Yrs",Exit_Data[[#This Row],[Tenure]]&gt;0,"0 to 1 Yr")</f>
        <v>3 to 6 Yrs</v>
      </c>
    </row>
    <row r="31" spans="1:14">
      <c r="A31" s="2">
        <v>30</v>
      </c>
      <c r="B31" s="2">
        <v>10133</v>
      </c>
      <c r="C31" t="s">
        <v>68</v>
      </c>
      <c r="D31" s="3" t="s">
        <v>20</v>
      </c>
      <c r="E31" t="s">
        <v>41</v>
      </c>
      <c r="F31" s="3" t="s">
        <v>17</v>
      </c>
      <c r="G31" s="3" t="str">
        <f>IF(ISBLANK(Exit_Data[[#This Row],[Exit Date]]),"Active","Inactive")</f>
        <v>Active</v>
      </c>
      <c r="H31" s="5">
        <v>45702</v>
      </c>
      <c r="I31" s="5"/>
      <c r="J31" s="5"/>
      <c r="K31" s="3"/>
      <c r="L31" t="s">
        <v>36</v>
      </c>
      <c r="M31" s="6">
        <f ca="1">(TODAY()-Exit_Data[[#This Row],[DOJ]])/365.25</f>
        <v>1.377138945927447</v>
      </c>
      <c r="N31" t="str">
        <f ca="1">_xlfn.IFS(Exit_Data[[#This Row],[Tenure]]&gt;9,"9+ Yrs",Exit_Data[[#This Row],[Tenure]]&gt;6,"6 to 9 Yrs",Exit_Data[[#This Row],[Tenure]]&gt;3,"3 to 6 Yrs",Exit_Data[[#This Row],[Tenure]]&gt;1,"1 to 3 Yrs",Exit_Data[[#This Row],[Tenure]]&gt;0,"0 to 1 Yr")</f>
        <v>1 to 3 Yrs</v>
      </c>
    </row>
    <row r="32" spans="1:14">
      <c r="A32" s="2">
        <v>31</v>
      </c>
      <c r="B32" s="2">
        <v>10134</v>
      </c>
      <c r="C32" t="s">
        <v>69</v>
      </c>
      <c r="D32" s="3" t="s">
        <v>15</v>
      </c>
      <c r="E32" t="s">
        <v>41</v>
      </c>
      <c r="F32" s="3" t="s">
        <v>28</v>
      </c>
      <c r="G32" s="3" t="str">
        <f>IF(ISBLANK(Exit_Data[[#This Row],[Exit Date]]),"Active","Inactive")</f>
        <v>Active</v>
      </c>
      <c r="H32" s="5">
        <v>44356</v>
      </c>
      <c r="I32" s="5"/>
      <c r="K32" s="3"/>
      <c r="L32" t="s">
        <v>51</v>
      </c>
      <c r="M32" s="6">
        <f ca="1">(TODAY()-Exit_Data[[#This Row],[DOJ]])/365.25</f>
        <v>5.0622861054072557</v>
      </c>
      <c r="N32" t="str">
        <f ca="1">_xlfn.IFS(Exit_Data[[#This Row],[Tenure]]&gt;9,"9+ Yrs",Exit_Data[[#This Row],[Tenure]]&gt;6,"6 to 9 Yrs",Exit_Data[[#This Row],[Tenure]]&gt;3,"3 to 6 Yrs",Exit_Data[[#This Row],[Tenure]]&gt;1,"1 to 3 Yrs",Exit_Data[[#This Row],[Tenure]]&gt;0,"0 to 1 Yr")</f>
        <v>3 to 6 Yrs</v>
      </c>
    </row>
    <row r="33" spans="1:14">
      <c r="A33" s="2">
        <v>32</v>
      </c>
      <c r="B33" s="2">
        <v>10135</v>
      </c>
      <c r="C33" t="s">
        <v>70</v>
      </c>
      <c r="D33" s="3" t="s">
        <v>15</v>
      </c>
      <c r="E33" t="s">
        <v>49</v>
      </c>
      <c r="F33" s="3" t="s">
        <v>28</v>
      </c>
      <c r="G33" s="3" t="str">
        <f>IF(ISBLANK(Exit_Data[[#This Row],[Exit Date]]),"Active","Inactive")</f>
        <v>Active</v>
      </c>
      <c r="H33" s="5">
        <v>45229</v>
      </c>
      <c r="I33" s="5"/>
      <c r="K33" s="3"/>
      <c r="L33" t="s">
        <v>29</v>
      </c>
      <c r="M33" s="6">
        <f ca="1">(TODAY()-Exit_Data[[#This Row],[DOJ]])/365.25</f>
        <v>2.6721423682409307</v>
      </c>
      <c r="N33" t="str">
        <f ca="1">_xlfn.IFS(Exit_Data[[#This Row],[Tenure]]&gt;9,"9+ Yrs",Exit_Data[[#This Row],[Tenure]]&gt;6,"6 to 9 Yrs",Exit_Data[[#This Row],[Tenure]]&gt;3,"3 to 6 Yrs",Exit_Data[[#This Row],[Tenure]]&gt;1,"1 to 3 Yrs",Exit_Data[[#This Row],[Tenure]]&gt;0,"0 to 1 Yr")</f>
        <v>1 to 3 Yrs</v>
      </c>
    </row>
    <row r="34" spans="1:14">
      <c r="A34" s="2">
        <v>33</v>
      </c>
      <c r="B34" s="2">
        <v>10136</v>
      </c>
      <c r="C34" t="s">
        <v>71</v>
      </c>
      <c r="D34" s="3" t="s">
        <v>15</v>
      </c>
      <c r="E34" t="s">
        <v>41</v>
      </c>
      <c r="F34" s="3" t="s">
        <v>28</v>
      </c>
      <c r="G34" s="3" t="str">
        <f>IF(ISBLANK(Exit_Data[[#This Row],[Exit Date]]),"Active","Inactive")</f>
        <v>Inactive</v>
      </c>
      <c r="H34" s="5">
        <v>44563</v>
      </c>
      <c r="I34" s="5">
        <v>45696</v>
      </c>
      <c r="J34" s="5" t="s">
        <v>34</v>
      </c>
      <c r="K34" s="3" t="s">
        <v>72</v>
      </c>
      <c r="L34" t="s">
        <v>51</v>
      </c>
      <c r="M34" s="6">
        <f ca="1">(TODAY()-Exit_Data[[#This Row],[DOJ]])/365.25</f>
        <v>4.4955509924709105</v>
      </c>
      <c r="N34" t="str">
        <f ca="1">_xlfn.IFS(Exit_Data[[#This Row],[Tenure]]&gt;9,"9+ Yrs",Exit_Data[[#This Row],[Tenure]]&gt;6,"6 to 9 Yrs",Exit_Data[[#This Row],[Tenure]]&gt;3,"3 to 6 Yrs",Exit_Data[[#This Row],[Tenure]]&gt;1,"1 to 3 Yrs",Exit_Data[[#This Row],[Tenure]]&gt;0,"0 to 1 Yr")</f>
        <v>3 to 6 Yrs</v>
      </c>
    </row>
    <row r="35" spans="1:14">
      <c r="A35" s="2">
        <v>34</v>
      </c>
      <c r="B35" s="2">
        <v>10137</v>
      </c>
      <c r="C35" t="s">
        <v>73</v>
      </c>
      <c r="D35" s="3" t="s">
        <v>20</v>
      </c>
      <c r="E35" t="s">
        <v>32</v>
      </c>
      <c r="F35" s="3" t="s">
        <v>28</v>
      </c>
      <c r="G35" s="3" t="str">
        <f>IF(ISBLANK(Exit_Data[[#This Row],[Exit Date]]),"Active","Inactive")</f>
        <v>Active</v>
      </c>
      <c r="H35" s="5">
        <v>44426</v>
      </c>
      <c r="I35" s="5"/>
      <c r="K35" s="3"/>
      <c r="L35" t="s">
        <v>51</v>
      </c>
      <c r="M35" s="6">
        <f ca="1">(TODAY()-Exit_Data[[#This Row],[DOJ]])/365.25</f>
        <v>4.8706365503080082</v>
      </c>
      <c r="N35" t="str">
        <f ca="1">_xlfn.IFS(Exit_Data[[#This Row],[Tenure]]&gt;9,"9+ Yrs",Exit_Data[[#This Row],[Tenure]]&gt;6,"6 to 9 Yrs",Exit_Data[[#This Row],[Tenure]]&gt;3,"3 to 6 Yrs",Exit_Data[[#This Row],[Tenure]]&gt;1,"1 to 3 Yrs",Exit_Data[[#This Row],[Tenure]]&gt;0,"0 to 1 Yr")</f>
        <v>3 to 6 Yrs</v>
      </c>
    </row>
    <row r="36" spans="1:14">
      <c r="A36" s="2">
        <v>35</v>
      </c>
      <c r="B36" s="2">
        <v>10138</v>
      </c>
      <c r="C36" t="s">
        <v>74</v>
      </c>
      <c r="D36" s="3" t="s">
        <v>15</v>
      </c>
      <c r="E36" t="s">
        <v>49</v>
      </c>
      <c r="F36" s="3" t="s">
        <v>17</v>
      </c>
      <c r="G36" s="3" t="str">
        <f>IF(ISBLANK(Exit_Data[[#This Row],[Exit Date]]),"Active","Inactive")</f>
        <v>Active</v>
      </c>
      <c r="H36" s="5">
        <v>43897</v>
      </c>
      <c r="I36" s="5"/>
      <c r="K36" s="3"/>
      <c r="L36" t="s">
        <v>36</v>
      </c>
      <c r="M36" s="6">
        <f ca="1">(TODAY()-Exit_Data[[#This Row],[DOJ]])/365.25</f>
        <v>6.3189596167008899</v>
      </c>
      <c r="N36" t="str">
        <f ca="1">_xlfn.IFS(Exit_Data[[#This Row],[Tenure]]&gt;9,"9+ Yrs",Exit_Data[[#This Row],[Tenure]]&gt;6,"6 to 9 Yrs",Exit_Data[[#This Row],[Tenure]]&gt;3,"3 to 6 Yrs",Exit_Data[[#This Row],[Tenure]]&gt;1,"1 to 3 Yrs",Exit_Data[[#This Row],[Tenure]]&gt;0,"0 to 1 Yr")</f>
        <v>6 to 9 Yrs</v>
      </c>
    </row>
    <row r="37" spans="1:14">
      <c r="A37" s="2">
        <v>36</v>
      </c>
      <c r="B37" s="2">
        <v>10139</v>
      </c>
      <c r="C37" t="s">
        <v>75</v>
      </c>
      <c r="D37" s="3" t="s">
        <v>20</v>
      </c>
      <c r="E37" t="s">
        <v>32</v>
      </c>
      <c r="F37" s="3" t="s">
        <v>17</v>
      </c>
      <c r="G37" s="3" t="str">
        <f>IF(ISBLANK(Exit_Data[[#This Row],[Exit Date]]),"Active","Inactive")</f>
        <v>Active</v>
      </c>
      <c r="H37" s="5">
        <v>44907</v>
      </c>
      <c r="I37" s="5"/>
      <c r="K37" s="3"/>
      <c r="L37" t="s">
        <v>36</v>
      </c>
      <c r="M37" s="6">
        <f ca="1">(TODAY()-Exit_Data[[#This Row],[DOJ]])/365.25</f>
        <v>3.5537303216974676</v>
      </c>
      <c r="N37" t="str">
        <f ca="1">_xlfn.IFS(Exit_Data[[#This Row],[Tenure]]&gt;9,"9+ Yrs",Exit_Data[[#This Row],[Tenure]]&gt;6,"6 to 9 Yrs",Exit_Data[[#This Row],[Tenure]]&gt;3,"3 to 6 Yrs",Exit_Data[[#This Row],[Tenure]]&gt;1,"1 to 3 Yrs",Exit_Data[[#This Row],[Tenure]]&gt;0,"0 to 1 Yr")</f>
        <v>3 to 6 Yrs</v>
      </c>
    </row>
    <row r="38" spans="1:14">
      <c r="A38" s="2">
        <v>37</v>
      </c>
      <c r="B38" s="2">
        <v>10140</v>
      </c>
      <c r="C38" t="s">
        <v>76</v>
      </c>
      <c r="D38" s="3" t="s">
        <v>15</v>
      </c>
      <c r="E38" t="s">
        <v>21</v>
      </c>
      <c r="F38" s="3" t="s">
        <v>22</v>
      </c>
      <c r="G38" s="3" t="str">
        <f>IF(ISBLANK(Exit_Data[[#This Row],[Exit Date]]),"Active","Inactive")</f>
        <v>Inactive</v>
      </c>
      <c r="H38" s="5">
        <v>43922</v>
      </c>
      <c r="I38" s="5">
        <v>45853</v>
      </c>
      <c r="J38" s="5" t="s">
        <v>34</v>
      </c>
      <c r="K38" s="3" t="s">
        <v>72</v>
      </c>
      <c r="L38" t="s">
        <v>57</v>
      </c>
      <c r="M38" s="6">
        <f ca="1">(TODAY()-Exit_Data[[#This Row],[DOJ]])/365.25</f>
        <v>6.2505133470225873</v>
      </c>
      <c r="N38" t="str">
        <f ca="1">_xlfn.IFS(Exit_Data[[#This Row],[Tenure]]&gt;9,"9+ Yrs",Exit_Data[[#This Row],[Tenure]]&gt;6,"6 to 9 Yrs",Exit_Data[[#This Row],[Tenure]]&gt;3,"3 to 6 Yrs",Exit_Data[[#This Row],[Tenure]]&gt;1,"1 to 3 Yrs",Exit_Data[[#This Row],[Tenure]]&gt;0,"0 to 1 Yr")</f>
        <v>6 to 9 Yrs</v>
      </c>
    </row>
    <row r="39" spans="1:14">
      <c r="A39" s="2">
        <v>38</v>
      </c>
      <c r="B39" s="2">
        <v>10141</v>
      </c>
      <c r="C39" t="s">
        <v>77</v>
      </c>
      <c r="D39" s="3" t="s">
        <v>20</v>
      </c>
      <c r="E39" t="s">
        <v>32</v>
      </c>
      <c r="F39" s="3" t="s">
        <v>28</v>
      </c>
      <c r="G39" s="3" t="str">
        <f>IF(ISBLANK(Exit_Data[[#This Row],[Exit Date]]),"Active","Inactive")</f>
        <v>Inactive</v>
      </c>
      <c r="H39" s="5">
        <v>45071</v>
      </c>
      <c r="I39" s="5">
        <v>45940</v>
      </c>
      <c r="J39" s="5" t="s">
        <v>34</v>
      </c>
      <c r="K39" s="3" t="s">
        <v>72</v>
      </c>
      <c r="L39" t="s">
        <v>51</v>
      </c>
      <c r="M39" s="6">
        <f ca="1">(TODAY()-Exit_Data[[#This Row],[DOJ]])/365.25</f>
        <v>3.1047227926078027</v>
      </c>
      <c r="N39" t="str">
        <f ca="1">_xlfn.IFS(Exit_Data[[#This Row],[Tenure]]&gt;9,"9+ Yrs",Exit_Data[[#This Row],[Tenure]]&gt;6,"6 to 9 Yrs",Exit_Data[[#This Row],[Tenure]]&gt;3,"3 to 6 Yrs",Exit_Data[[#This Row],[Tenure]]&gt;1,"1 to 3 Yrs",Exit_Data[[#This Row],[Tenure]]&gt;0,"0 to 1 Yr")</f>
        <v>3 to 6 Yrs</v>
      </c>
    </row>
    <row r="40" spans="1:14">
      <c r="A40" s="2">
        <v>39</v>
      </c>
      <c r="B40" s="2">
        <v>10142</v>
      </c>
      <c r="C40" t="s">
        <v>78</v>
      </c>
      <c r="D40" s="3" t="s">
        <v>15</v>
      </c>
      <c r="E40" t="s">
        <v>41</v>
      </c>
      <c r="F40" s="3" t="s">
        <v>79</v>
      </c>
      <c r="G40" s="3" t="str">
        <f>IF(ISBLANK(Exit_Data[[#This Row],[Exit Date]]),"Active","Inactive")</f>
        <v>Active</v>
      </c>
      <c r="H40" s="5">
        <v>44448</v>
      </c>
      <c r="I40" s="5"/>
      <c r="K40" s="3"/>
      <c r="L40" t="s">
        <v>57</v>
      </c>
      <c r="M40" s="6">
        <f ca="1">(TODAY()-Exit_Data[[#This Row],[DOJ]])/365.25</f>
        <v>4.8104038329911019</v>
      </c>
      <c r="N40" t="str">
        <f ca="1">_xlfn.IFS(Exit_Data[[#This Row],[Tenure]]&gt;9,"9+ Yrs",Exit_Data[[#This Row],[Tenure]]&gt;6,"6 to 9 Yrs",Exit_Data[[#This Row],[Tenure]]&gt;3,"3 to 6 Yrs",Exit_Data[[#This Row],[Tenure]]&gt;1,"1 to 3 Yrs",Exit_Data[[#This Row],[Tenure]]&gt;0,"0 to 1 Yr")</f>
        <v>3 to 6 Yrs</v>
      </c>
    </row>
    <row r="41" spans="1:14">
      <c r="A41" s="2">
        <v>40</v>
      </c>
      <c r="B41" s="2">
        <v>10143</v>
      </c>
      <c r="C41" t="s">
        <v>80</v>
      </c>
      <c r="D41" s="3" t="s">
        <v>15</v>
      </c>
      <c r="E41" t="s">
        <v>21</v>
      </c>
      <c r="F41" s="3" t="s">
        <v>17</v>
      </c>
      <c r="G41" s="3" t="str">
        <f>IF(ISBLANK(Exit_Data[[#This Row],[Exit Date]]),"Active","Inactive")</f>
        <v>Active</v>
      </c>
      <c r="H41" s="5">
        <v>43841</v>
      </c>
      <c r="I41" s="5"/>
      <c r="K41" s="3"/>
      <c r="L41" t="s">
        <v>36</v>
      </c>
      <c r="M41" s="6">
        <f ca="1">(TODAY()-Exit_Data[[#This Row],[DOJ]])/365.25</f>
        <v>6.4722792607802875</v>
      </c>
      <c r="N41" t="str">
        <f ca="1">_xlfn.IFS(Exit_Data[[#This Row],[Tenure]]&gt;9,"9+ Yrs",Exit_Data[[#This Row],[Tenure]]&gt;6,"6 to 9 Yrs",Exit_Data[[#This Row],[Tenure]]&gt;3,"3 to 6 Yrs",Exit_Data[[#This Row],[Tenure]]&gt;1,"1 to 3 Yrs",Exit_Data[[#This Row],[Tenure]]&gt;0,"0 to 1 Yr")</f>
        <v>6 to 9 Yrs</v>
      </c>
    </row>
    <row r="42" spans="1:14">
      <c r="A42" s="2">
        <v>41</v>
      </c>
      <c r="B42" s="2">
        <v>10144</v>
      </c>
      <c r="C42" t="s">
        <v>81</v>
      </c>
      <c r="D42" s="3" t="s">
        <v>15</v>
      </c>
      <c r="E42" t="s">
        <v>41</v>
      </c>
      <c r="F42" s="3" t="s">
        <v>25</v>
      </c>
      <c r="G42" s="3" t="str">
        <f>IF(ISBLANK(Exit_Data[[#This Row],[Exit Date]]),"Active","Inactive")</f>
        <v>Active</v>
      </c>
      <c r="H42" s="5">
        <v>44759</v>
      </c>
      <c r="I42" s="5"/>
      <c r="K42" s="3"/>
      <c r="L42" t="s">
        <v>26</v>
      </c>
      <c r="M42" s="6">
        <f ca="1">(TODAY()-Exit_Data[[#This Row],[DOJ]])/365.25</f>
        <v>3.9589322381930185</v>
      </c>
      <c r="N42" t="str">
        <f ca="1">_xlfn.IFS(Exit_Data[[#This Row],[Tenure]]&gt;9,"9+ Yrs",Exit_Data[[#This Row],[Tenure]]&gt;6,"6 to 9 Yrs",Exit_Data[[#This Row],[Tenure]]&gt;3,"3 to 6 Yrs",Exit_Data[[#This Row],[Tenure]]&gt;1,"1 to 3 Yrs",Exit_Data[[#This Row],[Tenure]]&gt;0,"0 to 1 Yr")</f>
        <v>3 to 6 Yrs</v>
      </c>
    </row>
    <row r="43" spans="1:14">
      <c r="A43" s="2">
        <v>42</v>
      </c>
      <c r="B43" s="2">
        <v>10145</v>
      </c>
      <c r="C43" t="s">
        <v>82</v>
      </c>
      <c r="D43" s="3" t="s">
        <v>15</v>
      </c>
      <c r="E43" t="s">
        <v>32</v>
      </c>
      <c r="F43" s="3" t="s">
        <v>25</v>
      </c>
      <c r="G43" s="3" t="str">
        <f>IF(ISBLANK(Exit_Data[[#This Row],[Exit Date]]),"Active","Inactive")</f>
        <v>Active</v>
      </c>
      <c r="H43" s="5">
        <v>45202</v>
      </c>
      <c r="I43" s="5"/>
      <c r="K43" s="3"/>
      <c r="L43" t="s">
        <v>26</v>
      </c>
      <c r="M43" s="6">
        <f ca="1">(TODAY()-Exit_Data[[#This Row],[DOJ]])/365.25</f>
        <v>2.7460643394934978</v>
      </c>
      <c r="N43" t="str">
        <f ca="1">_xlfn.IFS(Exit_Data[[#This Row],[Tenure]]&gt;9,"9+ Yrs",Exit_Data[[#This Row],[Tenure]]&gt;6,"6 to 9 Yrs",Exit_Data[[#This Row],[Tenure]]&gt;3,"3 to 6 Yrs",Exit_Data[[#This Row],[Tenure]]&gt;1,"1 to 3 Yrs",Exit_Data[[#This Row],[Tenure]]&gt;0,"0 to 1 Yr")</f>
        <v>1 to 3 Yrs</v>
      </c>
    </row>
    <row r="44" spans="1:14">
      <c r="A44" s="2">
        <v>43</v>
      </c>
      <c r="B44" s="2">
        <v>10146</v>
      </c>
      <c r="C44" t="s">
        <v>83</v>
      </c>
      <c r="D44" s="3" t="s">
        <v>20</v>
      </c>
      <c r="E44" t="s">
        <v>32</v>
      </c>
      <c r="F44" s="3" t="s">
        <v>25</v>
      </c>
      <c r="G44" s="3" t="str">
        <f>IF(ISBLANK(Exit_Data[[#This Row],[Exit Date]]),"Active","Inactive")</f>
        <v>Inactive</v>
      </c>
      <c r="H44" s="5">
        <v>44353</v>
      </c>
      <c r="I44" s="5">
        <v>45846</v>
      </c>
      <c r="J44" s="5" t="s">
        <v>34</v>
      </c>
      <c r="K44" s="3" t="s">
        <v>72</v>
      </c>
      <c r="L44" t="s">
        <v>26</v>
      </c>
      <c r="M44" s="6">
        <f ca="1">(TODAY()-Exit_Data[[#This Row],[DOJ]])/365.25</f>
        <v>5.0704996577686519</v>
      </c>
      <c r="N44" t="str">
        <f ca="1">_xlfn.IFS(Exit_Data[[#This Row],[Tenure]]&gt;9,"9+ Yrs",Exit_Data[[#This Row],[Tenure]]&gt;6,"6 to 9 Yrs",Exit_Data[[#This Row],[Tenure]]&gt;3,"3 to 6 Yrs",Exit_Data[[#This Row],[Tenure]]&gt;1,"1 to 3 Yrs",Exit_Data[[#This Row],[Tenure]]&gt;0,"0 to 1 Yr")</f>
        <v>3 to 6 Yrs</v>
      </c>
    </row>
    <row r="45" spans="1:14">
      <c r="A45" s="2">
        <v>44</v>
      </c>
      <c r="B45" s="2">
        <v>10147</v>
      </c>
      <c r="C45" t="s">
        <v>84</v>
      </c>
      <c r="D45" s="3" t="s">
        <v>20</v>
      </c>
      <c r="E45" t="s">
        <v>41</v>
      </c>
      <c r="F45" s="3" t="s">
        <v>17</v>
      </c>
      <c r="G45" s="3" t="str">
        <f>IF(ISBLANK(Exit_Data[[#This Row],[Exit Date]]),"Active","Inactive")</f>
        <v>Inactive</v>
      </c>
      <c r="H45" s="5">
        <v>43881</v>
      </c>
      <c r="I45" s="5">
        <v>45971</v>
      </c>
      <c r="J45" s="5" t="s">
        <v>34</v>
      </c>
      <c r="K45" s="3" t="s">
        <v>72</v>
      </c>
      <c r="L45" t="s">
        <v>36</v>
      </c>
      <c r="M45" s="6">
        <f ca="1">(TODAY()-Exit_Data[[#This Row],[DOJ]])/365.25</f>
        <v>6.362765229295003</v>
      </c>
      <c r="N45" t="str">
        <f ca="1">_xlfn.IFS(Exit_Data[[#This Row],[Tenure]]&gt;9,"9+ Yrs",Exit_Data[[#This Row],[Tenure]]&gt;6,"6 to 9 Yrs",Exit_Data[[#This Row],[Tenure]]&gt;3,"3 to 6 Yrs",Exit_Data[[#This Row],[Tenure]]&gt;1,"1 to 3 Yrs",Exit_Data[[#This Row],[Tenure]]&gt;0,"0 to 1 Yr")</f>
        <v>6 to 9 Yrs</v>
      </c>
    </row>
    <row r="46" spans="1:14">
      <c r="A46" s="2">
        <v>45</v>
      </c>
      <c r="B46" s="2">
        <v>10148</v>
      </c>
      <c r="C46" t="s">
        <v>85</v>
      </c>
      <c r="D46" s="3" t="s">
        <v>20</v>
      </c>
      <c r="E46" t="s">
        <v>49</v>
      </c>
      <c r="F46" s="3" t="s">
        <v>22</v>
      </c>
      <c r="G46" s="3" t="str">
        <f>IF(ISBLANK(Exit_Data[[#This Row],[Exit Date]]),"Active","Inactive")</f>
        <v>Active</v>
      </c>
      <c r="H46" s="5">
        <v>44669</v>
      </c>
      <c r="I46" s="5"/>
      <c r="K46" s="3"/>
      <c r="L46" t="s">
        <v>57</v>
      </c>
      <c r="M46" s="6">
        <f ca="1">(TODAY()-Exit_Data[[#This Row],[DOJ]])/365.25</f>
        <v>4.2053388090349078</v>
      </c>
      <c r="N46" t="str">
        <f ca="1">_xlfn.IFS(Exit_Data[[#This Row],[Tenure]]&gt;9,"9+ Yrs",Exit_Data[[#This Row],[Tenure]]&gt;6,"6 to 9 Yrs",Exit_Data[[#This Row],[Tenure]]&gt;3,"3 to 6 Yrs",Exit_Data[[#This Row],[Tenure]]&gt;1,"1 to 3 Yrs",Exit_Data[[#This Row],[Tenure]]&gt;0,"0 to 1 Yr")</f>
        <v>3 to 6 Yrs</v>
      </c>
    </row>
    <row r="47" spans="1:14">
      <c r="A47" s="2">
        <v>46</v>
      </c>
      <c r="B47" s="2">
        <v>10149</v>
      </c>
      <c r="C47" t="s">
        <v>86</v>
      </c>
      <c r="D47" s="3" t="s">
        <v>20</v>
      </c>
      <c r="E47" t="s">
        <v>41</v>
      </c>
      <c r="F47" s="3" t="s">
        <v>28</v>
      </c>
      <c r="G47" s="3" t="str">
        <f>IF(ISBLANK(Exit_Data[[#This Row],[Exit Date]]),"Active","Inactive")</f>
        <v>Active</v>
      </c>
      <c r="H47" s="5">
        <v>44955</v>
      </c>
      <c r="I47" s="5"/>
      <c r="K47" s="3"/>
      <c r="L47" t="s">
        <v>51</v>
      </c>
      <c r="M47" s="6">
        <f ca="1">(TODAY()-Exit_Data[[#This Row],[DOJ]])/365.25</f>
        <v>3.4223134839151266</v>
      </c>
      <c r="N47" t="str">
        <f ca="1">_xlfn.IFS(Exit_Data[[#This Row],[Tenure]]&gt;9,"9+ Yrs",Exit_Data[[#This Row],[Tenure]]&gt;6,"6 to 9 Yrs",Exit_Data[[#This Row],[Tenure]]&gt;3,"3 to 6 Yrs",Exit_Data[[#This Row],[Tenure]]&gt;1,"1 to 3 Yrs",Exit_Data[[#This Row],[Tenure]]&gt;0,"0 to 1 Yr")</f>
        <v>3 to 6 Yrs</v>
      </c>
    </row>
    <row r="48" spans="1:14">
      <c r="A48" s="2">
        <v>47</v>
      </c>
      <c r="B48" s="2">
        <v>10150</v>
      </c>
      <c r="C48" t="s">
        <v>87</v>
      </c>
      <c r="D48" s="3" t="s">
        <v>20</v>
      </c>
      <c r="E48" t="s">
        <v>49</v>
      </c>
      <c r="F48" s="3" t="s">
        <v>17</v>
      </c>
      <c r="G48" s="3" t="str">
        <f>IF(ISBLANK(Exit_Data[[#This Row],[Exit Date]]),"Active","Inactive")</f>
        <v>Active</v>
      </c>
      <c r="H48" s="5">
        <v>44269</v>
      </c>
      <c r="I48" s="5"/>
      <c r="K48" s="3"/>
      <c r="L48" t="s">
        <v>18</v>
      </c>
      <c r="M48" s="6">
        <f ca="1">(TODAY()-Exit_Data[[#This Row],[DOJ]])/365.25</f>
        <v>5.3004791238877482</v>
      </c>
      <c r="N48" t="str">
        <f ca="1">_xlfn.IFS(Exit_Data[[#This Row],[Tenure]]&gt;9,"9+ Yrs",Exit_Data[[#This Row],[Tenure]]&gt;6,"6 to 9 Yrs",Exit_Data[[#This Row],[Tenure]]&gt;3,"3 to 6 Yrs",Exit_Data[[#This Row],[Tenure]]&gt;1,"1 to 3 Yrs",Exit_Data[[#This Row],[Tenure]]&gt;0,"0 to 1 Yr")</f>
        <v>3 to 6 Yrs</v>
      </c>
    </row>
    <row r="49" spans="1:14">
      <c r="A49" s="2">
        <v>48</v>
      </c>
      <c r="B49" s="2">
        <v>10151</v>
      </c>
      <c r="C49" t="s">
        <v>88</v>
      </c>
      <c r="D49" s="3" t="s">
        <v>15</v>
      </c>
      <c r="E49" t="s">
        <v>41</v>
      </c>
      <c r="F49" s="3" t="s">
        <v>17</v>
      </c>
      <c r="G49" s="3" t="str">
        <f>IF(ISBLANK(Exit_Data[[#This Row],[Exit Date]]),"Active","Inactive")</f>
        <v>Active</v>
      </c>
      <c r="H49" s="5">
        <v>44065</v>
      </c>
      <c r="I49" s="5"/>
      <c r="K49" s="3"/>
      <c r="L49" t="s">
        <v>18</v>
      </c>
      <c r="M49" s="6">
        <f ca="1">(TODAY()-Exit_Data[[#This Row],[DOJ]])/365.25</f>
        <v>5.8590006844626972</v>
      </c>
      <c r="N49" t="str">
        <f ca="1">_xlfn.IFS(Exit_Data[[#This Row],[Tenure]]&gt;9,"9+ Yrs",Exit_Data[[#This Row],[Tenure]]&gt;6,"6 to 9 Yrs",Exit_Data[[#This Row],[Tenure]]&gt;3,"3 to 6 Yrs",Exit_Data[[#This Row],[Tenure]]&gt;1,"1 to 3 Yrs",Exit_Data[[#This Row],[Tenure]]&gt;0,"0 to 1 Yr")</f>
        <v>3 to 6 Yrs</v>
      </c>
    </row>
    <row r="50" spans="1:14">
      <c r="A50" s="2">
        <v>49</v>
      </c>
      <c r="B50" s="2">
        <v>10152</v>
      </c>
      <c r="C50" t="s">
        <v>89</v>
      </c>
      <c r="D50" s="3" t="s">
        <v>15</v>
      </c>
      <c r="E50" t="s">
        <v>16</v>
      </c>
      <c r="F50" s="3" t="s">
        <v>17</v>
      </c>
      <c r="G50" s="3" t="str">
        <f>IF(ISBLANK(Exit_Data[[#This Row],[Exit Date]]),"Active","Inactive")</f>
        <v>Active</v>
      </c>
      <c r="H50" s="5">
        <v>45417</v>
      </c>
      <c r="I50" s="5"/>
      <c r="K50" s="3"/>
      <c r="L50" t="s">
        <v>18</v>
      </c>
      <c r="M50" s="6">
        <f ca="1">(TODAY()-Exit_Data[[#This Row],[DOJ]])/365.25</f>
        <v>2.1574264202600957</v>
      </c>
      <c r="N50" t="str">
        <f ca="1">_xlfn.IFS(Exit_Data[[#This Row],[Tenure]]&gt;9,"9+ Yrs",Exit_Data[[#This Row],[Tenure]]&gt;6,"6 to 9 Yrs",Exit_Data[[#This Row],[Tenure]]&gt;3,"3 to 6 Yrs",Exit_Data[[#This Row],[Tenure]]&gt;1,"1 to 3 Yrs",Exit_Data[[#This Row],[Tenure]]&gt;0,"0 to 1 Yr")</f>
        <v>1 to 3 Yrs</v>
      </c>
    </row>
    <row r="51" spans="1:14">
      <c r="A51" s="2">
        <v>50</v>
      </c>
      <c r="B51" s="2">
        <v>10153</v>
      </c>
      <c r="C51" t="s">
        <v>90</v>
      </c>
      <c r="D51" s="3" t="s">
        <v>20</v>
      </c>
      <c r="E51" t="s">
        <v>32</v>
      </c>
      <c r="F51" s="3" t="s">
        <v>28</v>
      </c>
      <c r="G51" s="3" t="str">
        <f>IF(ISBLANK(Exit_Data[[#This Row],[Exit Date]]),"Active","Inactive")</f>
        <v>Active</v>
      </c>
      <c r="H51" s="5">
        <v>44761</v>
      </c>
      <c r="I51" s="5"/>
      <c r="K51" s="3"/>
      <c r="L51" t="s">
        <v>51</v>
      </c>
      <c r="M51" s="6">
        <f ca="1">(TODAY()-Exit_Data[[#This Row],[DOJ]])/365.25</f>
        <v>3.9534565366187544</v>
      </c>
      <c r="N51" t="str">
        <f ca="1">_xlfn.IFS(Exit_Data[[#This Row],[Tenure]]&gt;9,"9+ Yrs",Exit_Data[[#This Row],[Tenure]]&gt;6,"6 to 9 Yrs",Exit_Data[[#This Row],[Tenure]]&gt;3,"3 to 6 Yrs",Exit_Data[[#This Row],[Tenure]]&gt;1,"1 to 3 Yrs",Exit_Data[[#This Row],[Tenure]]&gt;0,"0 to 1 Yr")</f>
        <v>3 to 6 Yrs</v>
      </c>
    </row>
    <row r="52" spans="1:14">
      <c r="A52" s="2">
        <v>51</v>
      </c>
      <c r="B52" s="2">
        <v>10154</v>
      </c>
      <c r="C52" t="s">
        <v>91</v>
      </c>
      <c r="D52" s="3" t="s">
        <v>20</v>
      </c>
      <c r="E52" t="s">
        <v>49</v>
      </c>
      <c r="F52" s="3" t="s">
        <v>28</v>
      </c>
      <c r="G52" s="3" t="str">
        <f>IF(ISBLANK(Exit_Data[[#This Row],[Exit Date]]),"Active","Inactive")</f>
        <v>Active</v>
      </c>
      <c r="H52" s="5">
        <v>44528</v>
      </c>
      <c r="I52" s="5"/>
      <c r="K52" s="3"/>
      <c r="L52" t="s">
        <v>51</v>
      </c>
      <c r="M52" s="6">
        <f ca="1">(TODAY()-Exit_Data[[#This Row],[DOJ]])/365.25</f>
        <v>4.5913757700205338</v>
      </c>
      <c r="N52" t="str">
        <f ca="1">_xlfn.IFS(Exit_Data[[#This Row],[Tenure]]&gt;9,"9+ Yrs",Exit_Data[[#This Row],[Tenure]]&gt;6,"6 to 9 Yrs",Exit_Data[[#This Row],[Tenure]]&gt;3,"3 to 6 Yrs",Exit_Data[[#This Row],[Tenure]]&gt;1,"1 to 3 Yrs",Exit_Data[[#This Row],[Tenure]]&gt;0,"0 to 1 Yr")</f>
        <v>3 to 6 Yrs</v>
      </c>
    </row>
    <row r="53" spans="1:14">
      <c r="A53" s="2">
        <v>52</v>
      </c>
      <c r="B53" s="2">
        <v>10155</v>
      </c>
      <c r="C53" t="s">
        <v>92</v>
      </c>
      <c r="D53" s="3" t="s">
        <v>15</v>
      </c>
      <c r="E53" t="s">
        <v>21</v>
      </c>
      <c r="F53" s="3" t="s">
        <v>79</v>
      </c>
      <c r="G53" s="3" t="str">
        <f>IF(ISBLANK(Exit_Data[[#This Row],[Exit Date]]),"Active","Inactive")</f>
        <v>Active</v>
      </c>
      <c r="H53" s="5">
        <v>44939</v>
      </c>
      <c r="I53" s="5"/>
      <c r="K53" s="3"/>
      <c r="L53" t="s">
        <v>57</v>
      </c>
      <c r="M53" s="6">
        <f ca="1">(TODAY()-Exit_Data[[#This Row],[DOJ]])/365.25</f>
        <v>3.4661190965092401</v>
      </c>
      <c r="N53" t="str">
        <f ca="1">_xlfn.IFS(Exit_Data[[#This Row],[Tenure]]&gt;9,"9+ Yrs",Exit_Data[[#This Row],[Tenure]]&gt;6,"6 to 9 Yrs",Exit_Data[[#This Row],[Tenure]]&gt;3,"3 to 6 Yrs",Exit_Data[[#This Row],[Tenure]]&gt;1,"1 to 3 Yrs",Exit_Data[[#This Row],[Tenure]]&gt;0,"0 to 1 Yr")</f>
        <v>3 to 6 Yrs</v>
      </c>
    </row>
    <row r="54" spans="1:14">
      <c r="A54" s="2">
        <v>53</v>
      </c>
      <c r="B54" s="2">
        <v>10156</v>
      </c>
      <c r="C54" t="s">
        <v>93</v>
      </c>
      <c r="D54" s="3" t="s">
        <v>20</v>
      </c>
      <c r="E54" t="s">
        <v>16</v>
      </c>
      <c r="F54" s="3" t="s">
        <v>28</v>
      </c>
      <c r="G54" s="3" t="str">
        <f>IF(ISBLANK(Exit_Data[[#This Row],[Exit Date]]),"Active","Inactive")</f>
        <v>Active</v>
      </c>
      <c r="H54" s="5">
        <v>44843</v>
      </c>
      <c r="I54" s="5"/>
      <c r="K54" s="3"/>
      <c r="L54" t="s">
        <v>51</v>
      </c>
      <c r="M54" s="6">
        <f ca="1">(TODAY()-Exit_Data[[#This Row],[DOJ]])/365.25</f>
        <v>3.7289527720739222</v>
      </c>
      <c r="N54" t="str">
        <f ca="1">_xlfn.IFS(Exit_Data[[#This Row],[Tenure]]&gt;9,"9+ Yrs",Exit_Data[[#This Row],[Tenure]]&gt;6,"6 to 9 Yrs",Exit_Data[[#This Row],[Tenure]]&gt;3,"3 to 6 Yrs",Exit_Data[[#This Row],[Tenure]]&gt;1,"1 to 3 Yrs",Exit_Data[[#This Row],[Tenure]]&gt;0,"0 to 1 Yr")</f>
        <v>3 to 6 Yrs</v>
      </c>
    </row>
    <row r="55" spans="1:14">
      <c r="A55" s="2">
        <v>54</v>
      </c>
      <c r="B55" s="2">
        <v>10157</v>
      </c>
      <c r="C55" t="s">
        <v>94</v>
      </c>
      <c r="D55" s="3" t="s">
        <v>15</v>
      </c>
      <c r="E55" t="s">
        <v>21</v>
      </c>
      <c r="F55" s="3" t="s">
        <v>17</v>
      </c>
      <c r="G55" s="3" t="str">
        <f>IF(ISBLANK(Exit_Data[[#This Row],[Exit Date]]),"Active","Inactive")</f>
        <v>Active</v>
      </c>
      <c r="H55" s="5">
        <v>43989</v>
      </c>
      <c r="I55" s="5"/>
      <c r="K55" s="3"/>
      <c r="L55" t="s">
        <v>18</v>
      </c>
      <c r="M55" s="6">
        <f ca="1">(TODAY()-Exit_Data[[#This Row],[DOJ]])/365.25</f>
        <v>6.0670773442847361</v>
      </c>
      <c r="N55" t="str">
        <f ca="1">_xlfn.IFS(Exit_Data[[#This Row],[Tenure]]&gt;9,"9+ Yrs",Exit_Data[[#This Row],[Tenure]]&gt;6,"6 to 9 Yrs",Exit_Data[[#This Row],[Tenure]]&gt;3,"3 to 6 Yrs",Exit_Data[[#This Row],[Tenure]]&gt;1,"1 to 3 Yrs",Exit_Data[[#This Row],[Tenure]]&gt;0,"0 to 1 Yr")</f>
        <v>6 to 9 Yrs</v>
      </c>
    </row>
    <row r="56" spans="1:14">
      <c r="A56" s="2">
        <v>55</v>
      </c>
      <c r="B56" s="2">
        <v>10158</v>
      </c>
      <c r="C56" t="s">
        <v>95</v>
      </c>
      <c r="D56" s="3" t="s">
        <v>20</v>
      </c>
      <c r="E56" t="s">
        <v>49</v>
      </c>
      <c r="F56" s="3" t="s">
        <v>28</v>
      </c>
      <c r="G56" s="3" t="str">
        <f>IF(ISBLANK(Exit_Data[[#This Row],[Exit Date]]),"Active","Inactive")</f>
        <v>Active</v>
      </c>
      <c r="H56" s="5">
        <v>45338</v>
      </c>
      <c r="I56" s="5"/>
      <c r="K56" s="3"/>
      <c r="L56" t="s">
        <v>51</v>
      </c>
      <c r="M56" s="6">
        <f ca="1">(TODAY()-Exit_Data[[#This Row],[DOJ]])/365.25</f>
        <v>2.3737166324435317</v>
      </c>
      <c r="N56" t="str">
        <f ca="1">_xlfn.IFS(Exit_Data[[#This Row],[Tenure]]&gt;9,"9+ Yrs",Exit_Data[[#This Row],[Tenure]]&gt;6,"6 to 9 Yrs",Exit_Data[[#This Row],[Tenure]]&gt;3,"3 to 6 Yrs",Exit_Data[[#This Row],[Tenure]]&gt;1,"1 to 3 Yrs",Exit_Data[[#This Row],[Tenure]]&gt;0,"0 to 1 Yr")</f>
        <v>1 to 3 Yrs</v>
      </c>
    </row>
    <row r="57" spans="1:14">
      <c r="A57" s="2">
        <v>56</v>
      </c>
      <c r="B57" s="2">
        <v>10159</v>
      </c>
      <c r="C57" t="s">
        <v>96</v>
      </c>
      <c r="D57" s="3" t="s">
        <v>15</v>
      </c>
      <c r="E57" t="s">
        <v>49</v>
      </c>
      <c r="F57" s="3" t="s">
        <v>22</v>
      </c>
      <c r="G57" s="3" t="str">
        <f>IF(ISBLANK(Exit_Data[[#This Row],[Exit Date]]),"Active","Inactive")</f>
        <v>Active</v>
      </c>
      <c r="H57" s="5">
        <v>44256</v>
      </c>
      <c r="I57" s="5"/>
      <c r="K57" s="3"/>
      <c r="L57" t="s">
        <v>57</v>
      </c>
      <c r="M57" s="6">
        <f ca="1">(TODAY()-Exit_Data[[#This Row],[DOJ]])/365.25</f>
        <v>5.3360711841204651</v>
      </c>
      <c r="N57" t="str">
        <f ca="1">_xlfn.IFS(Exit_Data[[#This Row],[Tenure]]&gt;9,"9+ Yrs",Exit_Data[[#This Row],[Tenure]]&gt;6,"6 to 9 Yrs",Exit_Data[[#This Row],[Tenure]]&gt;3,"3 to 6 Yrs",Exit_Data[[#This Row],[Tenure]]&gt;1,"1 to 3 Yrs",Exit_Data[[#This Row],[Tenure]]&gt;0,"0 to 1 Yr")</f>
        <v>3 to 6 Yrs</v>
      </c>
    </row>
    <row r="58" spans="1:14">
      <c r="A58" s="2">
        <v>57</v>
      </c>
      <c r="B58" s="2">
        <v>10160</v>
      </c>
      <c r="C58" t="s">
        <v>97</v>
      </c>
      <c r="D58" s="3" t="s">
        <v>15</v>
      </c>
      <c r="E58" t="s">
        <v>16</v>
      </c>
      <c r="F58" s="3" t="s">
        <v>28</v>
      </c>
      <c r="G58" s="3" t="str">
        <f>IF(ISBLANK(Exit_Data[[#This Row],[Exit Date]]),"Active","Inactive")</f>
        <v>Inactive</v>
      </c>
      <c r="H58" s="5">
        <v>45163</v>
      </c>
      <c r="I58" s="5">
        <v>45719</v>
      </c>
      <c r="J58" s="5" t="s">
        <v>34</v>
      </c>
      <c r="K58" s="3" t="s">
        <v>72</v>
      </c>
      <c r="L58" t="s">
        <v>29</v>
      </c>
      <c r="M58" s="6">
        <f ca="1">(TODAY()-Exit_Data[[#This Row],[DOJ]])/365.25</f>
        <v>2.8528405201916494</v>
      </c>
      <c r="N58" t="str">
        <f ca="1">_xlfn.IFS(Exit_Data[[#This Row],[Tenure]]&gt;9,"9+ Yrs",Exit_Data[[#This Row],[Tenure]]&gt;6,"6 to 9 Yrs",Exit_Data[[#This Row],[Tenure]]&gt;3,"3 to 6 Yrs",Exit_Data[[#This Row],[Tenure]]&gt;1,"1 to 3 Yrs",Exit_Data[[#This Row],[Tenure]]&gt;0,"0 to 1 Yr")</f>
        <v>1 to 3 Yrs</v>
      </c>
    </row>
    <row r="59" spans="1:14">
      <c r="A59" s="2">
        <v>58</v>
      </c>
      <c r="B59" s="2">
        <v>10161</v>
      </c>
      <c r="C59" t="s">
        <v>98</v>
      </c>
      <c r="D59" s="3" t="s">
        <v>20</v>
      </c>
      <c r="E59" t="s">
        <v>16</v>
      </c>
      <c r="F59" s="3" t="s">
        <v>28</v>
      </c>
      <c r="G59" s="3" t="str">
        <f>IF(ISBLANK(Exit_Data[[#This Row],[Exit Date]]),"Active","Inactive")</f>
        <v>Active</v>
      </c>
      <c r="H59" s="5">
        <v>44176</v>
      </c>
      <c r="I59" s="5"/>
      <c r="K59" s="3"/>
      <c r="L59" t="s">
        <v>29</v>
      </c>
      <c r="M59" s="6">
        <f ca="1">(TODAY()-Exit_Data[[#This Row],[DOJ]])/365.25</f>
        <v>5.5550992470910332</v>
      </c>
      <c r="N59" t="str">
        <f ca="1">_xlfn.IFS(Exit_Data[[#This Row],[Tenure]]&gt;9,"9+ Yrs",Exit_Data[[#This Row],[Tenure]]&gt;6,"6 to 9 Yrs",Exit_Data[[#This Row],[Tenure]]&gt;3,"3 to 6 Yrs",Exit_Data[[#This Row],[Tenure]]&gt;1,"1 to 3 Yrs",Exit_Data[[#This Row],[Tenure]]&gt;0,"0 to 1 Yr")</f>
        <v>3 to 6 Yrs</v>
      </c>
    </row>
    <row r="60" spans="1:14">
      <c r="A60" s="2">
        <v>59</v>
      </c>
      <c r="B60" s="2">
        <v>10162</v>
      </c>
      <c r="C60" t="s">
        <v>99</v>
      </c>
      <c r="D60" s="3" t="s">
        <v>15</v>
      </c>
      <c r="E60" t="s">
        <v>41</v>
      </c>
      <c r="F60" s="3" t="s">
        <v>25</v>
      </c>
      <c r="G60" s="3" t="str">
        <f>IF(ISBLANK(Exit_Data[[#This Row],[Exit Date]]),"Active","Inactive")</f>
        <v>Active</v>
      </c>
      <c r="H60" s="5">
        <v>44591</v>
      </c>
      <c r="I60" s="5"/>
      <c r="K60" s="3"/>
      <c r="L60" t="s">
        <v>59</v>
      </c>
      <c r="M60" s="6">
        <f ca="1">(TODAY()-Exit_Data[[#This Row],[DOJ]])/365.25</f>
        <v>4.4188911704312117</v>
      </c>
      <c r="N60" t="str">
        <f ca="1">_xlfn.IFS(Exit_Data[[#This Row],[Tenure]]&gt;9,"9+ Yrs",Exit_Data[[#This Row],[Tenure]]&gt;6,"6 to 9 Yrs",Exit_Data[[#This Row],[Tenure]]&gt;3,"3 to 6 Yrs",Exit_Data[[#This Row],[Tenure]]&gt;1,"1 to 3 Yrs",Exit_Data[[#This Row],[Tenure]]&gt;0,"0 to 1 Yr")</f>
        <v>3 to 6 Yrs</v>
      </c>
    </row>
    <row r="61" spans="1:14">
      <c r="A61" s="2">
        <v>60</v>
      </c>
      <c r="B61" s="2">
        <v>10163</v>
      </c>
      <c r="C61" t="s">
        <v>100</v>
      </c>
      <c r="D61" s="3" t="s">
        <v>20</v>
      </c>
      <c r="E61" t="s">
        <v>32</v>
      </c>
      <c r="F61" s="3" t="s">
        <v>25</v>
      </c>
      <c r="G61" s="3" t="str">
        <f>IF(ISBLANK(Exit_Data[[#This Row],[Exit Date]]),"Active","Inactive")</f>
        <v>Active</v>
      </c>
      <c r="H61" s="5">
        <v>44294</v>
      </c>
      <c r="I61" s="5"/>
      <c r="K61" s="3"/>
      <c r="L61" t="s">
        <v>62</v>
      </c>
      <c r="M61" s="6">
        <f ca="1">(TODAY()-Exit_Data[[#This Row],[DOJ]])/365.25</f>
        <v>5.2320328542094456</v>
      </c>
      <c r="N61" t="str">
        <f ca="1">_xlfn.IFS(Exit_Data[[#This Row],[Tenure]]&gt;9,"9+ Yrs",Exit_Data[[#This Row],[Tenure]]&gt;6,"6 to 9 Yrs",Exit_Data[[#This Row],[Tenure]]&gt;3,"3 to 6 Yrs",Exit_Data[[#This Row],[Tenure]]&gt;1,"1 to 3 Yrs",Exit_Data[[#This Row],[Tenure]]&gt;0,"0 to 1 Yr")</f>
        <v>3 to 6 Yrs</v>
      </c>
    </row>
    <row r="62" spans="1:14">
      <c r="A62" s="2">
        <v>61</v>
      </c>
      <c r="B62" s="2">
        <v>10164</v>
      </c>
      <c r="C62" t="s">
        <v>101</v>
      </c>
      <c r="D62" s="3" t="s">
        <v>20</v>
      </c>
      <c r="E62" t="s">
        <v>32</v>
      </c>
      <c r="F62" s="3" t="s">
        <v>25</v>
      </c>
      <c r="G62" s="3" t="str">
        <f>IF(ISBLANK(Exit_Data[[#This Row],[Exit Date]]),"Active","Inactive")</f>
        <v>Active</v>
      </c>
      <c r="H62" s="5">
        <v>45190</v>
      </c>
      <c r="I62" s="5"/>
      <c r="K62" s="3"/>
      <c r="L62" t="s">
        <v>59</v>
      </c>
      <c r="M62" s="6">
        <f ca="1">(TODAY()-Exit_Data[[#This Row],[DOJ]])/365.25</f>
        <v>2.7789185489390826</v>
      </c>
      <c r="N62" t="str">
        <f ca="1">_xlfn.IFS(Exit_Data[[#This Row],[Tenure]]&gt;9,"9+ Yrs",Exit_Data[[#This Row],[Tenure]]&gt;6,"6 to 9 Yrs",Exit_Data[[#This Row],[Tenure]]&gt;3,"3 to 6 Yrs",Exit_Data[[#This Row],[Tenure]]&gt;1,"1 to 3 Yrs",Exit_Data[[#This Row],[Tenure]]&gt;0,"0 to 1 Yr")</f>
        <v>1 to 3 Yrs</v>
      </c>
    </row>
    <row r="63" spans="1:14">
      <c r="A63" s="2">
        <v>62</v>
      </c>
      <c r="B63" s="2">
        <v>10165</v>
      </c>
      <c r="C63" t="s">
        <v>102</v>
      </c>
      <c r="D63" s="3" t="s">
        <v>15</v>
      </c>
      <c r="E63" t="s">
        <v>16</v>
      </c>
      <c r="F63" s="3" t="s">
        <v>28</v>
      </c>
      <c r="G63" s="3" t="str">
        <f>IF(ISBLANK(Exit_Data[[#This Row],[Exit Date]]),"Active","Inactive")</f>
        <v>Active</v>
      </c>
      <c r="H63" s="5">
        <v>43992</v>
      </c>
      <c r="I63" s="5"/>
      <c r="K63" s="3"/>
      <c r="L63" t="s">
        <v>29</v>
      </c>
      <c r="M63" s="6">
        <f ca="1">(TODAY()-Exit_Data[[#This Row],[DOJ]])/365.25</f>
        <v>6.0588637919233399</v>
      </c>
      <c r="N63" t="str">
        <f ca="1">_xlfn.IFS(Exit_Data[[#This Row],[Tenure]]&gt;9,"9+ Yrs",Exit_Data[[#This Row],[Tenure]]&gt;6,"6 to 9 Yrs",Exit_Data[[#This Row],[Tenure]]&gt;3,"3 to 6 Yrs",Exit_Data[[#This Row],[Tenure]]&gt;1,"1 to 3 Yrs",Exit_Data[[#This Row],[Tenure]]&gt;0,"0 to 1 Yr")</f>
        <v>6 to 9 Yrs</v>
      </c>
    </row>
    <row r="64" spans="1:14">
      <c r="A64" s="2">
        <v>63</v>
      </c>
      <c r="B64" s="2">
        <v>10166</v>
      </c>
      <c r="C64" t="s">
        <v>103</v>
      </c>
      <c r="D64" s="3" t="s">
        <v>20</v>
      </c>
      <c r="E64" t="s">
        <v>49</v>
      </c>
      <c r="F64" s="3" t="s">
        <v>22</v>
      </c>
      <c r="G64" s="3" t="str">
        <f>IF(ISBLANK(Exit_Data[[#This Row],[Exit Date]]),"Active","Inactive")</f>
        <v>Active</v>
      </c>
      <c r="H64" s="5">
        <v>44882</v>
      </c>
      <c r="I64" s="5"/>
      <c r="K64" s="3"/>
      <c r="L64" t="s">
        <v>57</v>
      </c>
      <c r="M64" s="6">
        <f ca="1">(TODAY()-Exit_Data[[#This Row],[DOJ]])/365.25</f>
        <v>3.6221765913757702</v>
      </c>
      <c r="N64" t="str">
        <f ca="1">_xlfn.IFS(Exit_Data[[#This Row],[Tenure]]&gt;9,"9+ Yrs",Exit_Data[[#This Row],[Tenure]]&gt;6,"6 to 9 Yrs",Exit_Data[[#This Row],[Tenure]]&gt;3,"3 to 6 Yrs",Exit_Data[[#This Row],[Tenure]]&gt;1,"1 to 3 Yrs",Exit_Data[[#This Row],[Tenure]]&gt;0,"0 to 1 Yr")</f>
        <v>3 to 6 Yrs</v>
      </c>
    </row>
    <row r="65" spans="1:14">
      <c r="A65" s="2">
        <v>64</v>
      </c>
      <c r="B65" s="2">
        <v>10167</v>
      </c>
      <c r="C65" t="s">
        <v>104</v>
      </c>
      <c r="D65" s="3" t="s">
        <v>15</v>
      </c>
      <c r="E65" t="s">
        <v>41</v>
      </c>
      <c r="F65" s="3" t="s">
        <v>28</v>
      </c>
      <c r="G65" s="3" t="str">
        <f>IF(ISBLANK(Exit_Data[[#This Row],[Exit Date]]),"Active","Inactive")</f>
        <v>Active</v>
      </c>
      <c r="H65" s="5">
        <v>44199</v>
      </c>
      <c r="I65" s="5"/>
      <c r="K65" s="3"/>
      <c r="L65" t="s">
        <v>29</v>
      </c>
      <c r="M65" s="6">
        <f ca="1">(TODAY()-Exit_Data[[#This Row],[DOJ]])/365.25</f>
        <v>5.4921286789869956</v>
      </c>
      <c r="N65" t="str">
        <f ca="1">_xlfn.IFS(Exit_Data[[#This Row],[Tenure]]&gt;9,"9+ Yrs",Exit_Data[[#This Row],[Tenure]]&gt;6,"6 to 9 Yrs",Exit_Data[[#This Row],[Tenure]]&gt;3,"3 to 6 Yrs",Exit_Data[[#This Row],[Tenure]]&gt;1,"1 to 3 Yrs",Exit_Data[[#This Row],[Tenure]]&gt;0,"0 to 1 Yr")</f>
        <v>3 to 6 Yrs</v>
      </c>
    </row>
    <row r="66" spans="1:14">
      <c r="A66" s="2">
        <v>65</v>
      </c>
      <c r="B66" s="2">
        <v>10168</v>
      </c>
      <c r="C66" t="s">
        <v>105</v>
      </c>
      <c r="D66" s="3" t="s">
        <v>20</v>
      </c>
      <c r="E66" t="s">
        <v>32</v>
      </c>
      <c r="F66" s="3" t="s">
        <v>28</v>
      </c>
      <c r="G66" s="3" t="str">
        <f>IF(ISBLANK(Exit_Data[[#This Row],[Exit Date]]),"Active","Inactive")</f>
        <v>Active</v>
      </c>
      <c r="H66" s="5">
        <v>45438</v>
      </c>
      <c r="I66" s="5"/>
      <c r="K66" s="3"/>
      <c r="L66" t="s">
        <v>29</v>
      </c>
      <c r="M66" s="6">
        <f ca="1">(TODAY()-Exit_Data[[#This Row],[DOJ]])/365.25</f>
        <v>2.0999315537303218</v>
      </c>
      <c r="N66" t="str">
        <f ca="1">_xlfn.IFS(Exit_Data[[#This Row],[Tenure]]&gt;9,"9+ Yrs",Exit_Data[[#This Row],[Tenure]]&gt;6,"6 to 9 Yrs",Exit_Data[[#This Row],[Tenure]]&gt;3,"3 to 6 Yrs",Exit_Data[[#This Row],[Tenure]]&gt;1,"1 to 3 Yrs",Exit_Data[[#This Row],[Tenure]]&gt;0,"0 to 1 Yr")</f>
        <v>1 to 3 Yrs</v>
      </c>
    </row>
    <row r="67" spans="1:14">
      <c r="A67" s="2">
        <v>66</v>
      </c>
      <c r="B67" s="2">
        <v>10169</v>
      </c>
      <c r="C67" t="s">
        <v>106</v>
      </c>
      <c r="D67" s="3" t="s">
        <v>20</v>
      </c>
      <c r="E67" t="s">
        <v>21</v>
      </c>
      <c r="F67" s="3" t="s">
        <v>17</v>
      </c>
      <c r="G67" s="3" t="str">
        <f>IF(ISBLANK(Exit_Data[[#This Row],[Exit Date]]),"Active","Inactive")</f>
        <v>Active</v>
      </c>
      <c r="H67" s="5">
        <v>44756</v>
      </c>
      <c r="I67" s="5"/>
      <c r="K67" s="3"/>
      <c r="L67" t="s">
        <v>36</v>
      </c>
      <c r="M67" s="6">
        <f ca="1">(TODAY()-Exit_Data[[#This Row],[DOJ]])/365.25</f>
        <v>3.9671457905544147</v>
      </c>
      <c r="N67" t="str">
        <f ca="1">_xlfn.IFS(Exit_Data[[#This Row],[Tenure]]&gt;9,"9+ Yrs",Exit_Data[[#This Row],[Tenure]]&gt;6,"6 to 9 Yrs",Exit_Data[[#This Row],[Tenure]]&gt;3,"3 to 6 Yrs",Exit_Data[[#This Row],[Tenure]]&gt;1,"1 to 3 Yrs",Exit_Data[[#This Row],[Tenure]]&gt;0,"0 to 1 Yr")</f>
        <v>3 to 6 Yrs</v>
      </c>
    </row>
    <row r="68" spans="1:14">
      <c r="A68" s="2">
        <v>67</v>
      </c>
      <c r="B68" s="2">
        <v>10170</v>
      </c>
      <c r="C68" t="s">
        <v>107</v>
      </c>
      <c r="D68" s="3" t="s">
        <v>15</v>
      </c>
      <c r="E68" t="s">
        <v>16</v>
      </c>
      <c r="F68" s="3" t="s">
        <v>17</v>
      </c>
      <c r="G68" s="3" t="str">
        <f>IF(ISBLANK(Exit_Data[[#This Row],[Exit Date]]),"Active","Inactive")</f>
        <v>Active</v>
      </c>
      <c r="H68" s="5">
        <v>45939</v>
      </c>
      <c r="I68" s="5"/>
      <c r="K68" s="3"/>
      <c r="L68" t="s">
        <v>36</v>
      </c>
      <c r="M68" s="6">
        <f ca="1">(TODAY()-Exit_Data[[#This Row],[DOJ]])/365.25</f>
        <v>0.72826830937713893</v>
      </c>
      <c r="N68" t="str">
        <f ca="1">_xlfn.IFS(Exit_Data[[#This Row],[Tenure]]&gt;9,"9+ Yrs",Exit_Data[[#This Row],[Tenure]]&gt;6,"6 to 9 Yrs",Exit_Data[[#This Row],[Tenure]]&gt;3,"3 to 6 Yrs",Exit_Data[[#This Row],[Tenure]]&gt;1,"1 to 3 Yrs",Exit_Data[[#This Row],[Tenure]]&gt;0,"0 to 1 Yr")</f>
        <v>0 to 1 Yr</v>
      </c>
    </row>
    <row r="69" spans="1:14">
      <c r="A69" s="2">
        <v>68</v>
      </c>
      <c r="B69" s="2">
        <v>10171</v>
      </c>
      <c r="C69" t="s">
        <v>108</v>
      </c>
      <c r="D69" s="3" t="s">
        <v>15</v>
      </c>
      <c r="E69" t="s">
        <v>32</v>
      </c>
      <c r="F69" s="3" t="s">
        <v>17</v>
      </c>
      <c r="G69" s="3" t="str">
        <f>IF(ISBLANK(Exit_Data[[#This Row],[Exit Date]]),"Active","Inactive")</f>
        <v>Active</v>
      </c>
      <c r="H69" s="5">
        <v>44958</v>
      </c>
      <c r="I69" s="5"/>
      <c r="K69" s="3"/>
      <c r="L69" t="s">
        <v>36</v>
      </c>
      <c r="M69" s="6">
        <f ca="1">(TODAY()-Exit_Data[[#This Row],[DOJ]])/365.25</f>
        <v>3.4140999315537304</v>
      </c>
      <c r="N69" t="str">
        <f ca="1">_xlfn.IFS(Exit_Data[[#This Row],[Tenure]]&gt;9,"9+ Yrs",Exit_Data[[#This Row],[Tenure]]&gt;6,"6 to 9 Yrs",Exit_Data[[#This Row],[Tenure]]&gt;3,"3 to 6 Yrs",Exit_Data[[#This Row],[Tenure]]&gt;1,"1 to 3 Yrs",Exit_Data[[#This Row],[Tenure]]&gt;0,"0 to 1 Yr")</f>
        <v>3 to 6 Yrs</v>
      </c>
    </row>
    <row r="70" spans="1:14">
      <c r="A70" s="2">
        <v>69</v>
      </c>
      <c r="B70" s="2">
        <v>10172</v>
      </c>
      <c r="C70" t="s">
        <v>109</v>
      </c>
      <c r="D70" s="4" t="s">
        <v>20</v>
      </c>
      <c r="E70" t="s">
        <v>49</v>
      </c>
      <c r="F70" s="3" t="s">
        <v>22</v>
      </c>
      <c r="G70" s="3" t="str">
        <f>IF(ISBLANK(Exit_Data[[#This Row],[Exit Date]]),"Active","Inactive")</f>
        <v>Active</v>
      </c>
      <c r="H70" s="5">
        <v>44266</v>
      </c>
      <c r="I70" s="5"/>
      <c r="K70" s="3"/>
      <c r="L70" t="s">
        <v>57</v>
      </c>
      <c r="M70" s="6">
        <f ca="1">(TODAY()-Exit_Data[[#This Row],[DOJ]])/365.25</f>
        <v>5.3086926762491444</v>
      </c>
      <c r="N70" t="str">
        <f ca="1">_xlfn.IFS(Exit_Data[[#This Row],[Tenure]]&gt;9,"9+ Yrs",Exit_Data[[#This Row],[Tenure]]&gt;6,"6 to 9 Yrs",Exit_Data[[#This Row],[Tenure]]&gt;3,"3 to 6 Yrs",Exit_Data[[#This Row],[Tenure]]&gt;1,"1 to 3 Yrs",Exit_Data[[#This Row],[Tenure]]&gt;0,"0 to 1 Yr")</f>
        <v>3 to 6 Yrs</v>
      </c>
    </row>
    <row r="71" spans="1:14">
      <c r="A71" s="2">
        <v>70</v>
      </c>
      <c r="B71" s="2">
        <v>10173</v>
      </c>
      <c r="C71" t="s">
        <v>110</v>
      </c>
      <c r="D71" s="4" t="s">
        <v>15</v>
      </c>
      <c r="E71" t="s">
        <v>21</v>
      </c>
      <c r="F71" s="3" t="s">
        <v>28</v>
      </c>
      <c r="G71" s="3" t="str">
        <f>IF(ISBLANK(Exit_Data[[#This Row],[Exit Date]]),"Active","Inactive")</f>
        <v>Active</v>
      </c>
      <c r="H71" s="5">
        <v>44741</v>
      </c>
      <c r="I71" s="5"/>
      <c r="K71" s="3"/>
      <c r="L71" t="s">
        <v>29</v>
      </c>
      <c r="M71" s="6">
        <f ca="1">(TODAY()-Exit_Data[[#This Row],[DOJ]])/365.25</f>
        <v>4.0082135523613962</v>
      </c>
      <c r="N71" t="str">
        <f ca="1">_xlfn.IFS(Exit_Data[[#This Row],[Tenure]]&gt;9,"9+ Yrs",Exit_Data[[#This Row],[Tenure]]&gt;6,"6 to 9 Yrs",Exit_Data[[#This Row],[Tenure]]&gt;3,"3 to 6 Yrs",Exit_Data[[#This Row],[Tenure]]&gt;1,"1 to 3 Yrs",Exit_Data[[#This Row],[Tenure]]&gt;0,"0 to 1 Yr")</f>
        <v>3 to 6 Yrs</v>
      </c>
    </row>
    <row r="72" spans="1:14">
      <c r="A72" s="2">
        <v>71</v>
      </c>
      <c r="B72" s="2">
        <v>10174</v>
      </c>
      <c r="C72" t="s">
        <v>111</v>
      </c>
      <c r="D72" s="3" t="s">
        <v>15</v>
      </c>
      <c r="E72" t="s">
        <v>32</v>
      </c>
      <c r="F72" s="3" t="s">
        <v>79</v>
      </c>
      <c r="G72" s="3" t="str">
        <f>IF(ISBLANK(Exit_Data[[#This Row],[Exit Date]]),"Active","Inactive")</f>
        <v>Inactive</v>
      </c>
      <c r="H72" s="5">
        <v>44049</v>
      </c>
      <c r="I72" s="5">
        <v>45796</v>
      </c>
      <c r="J72" s="5" t="s">
        <v>34</v>
      </c>
      <c r="K72" s="3" t="s">
        <v>72</v>
      </c>
      <c r="L72" t="s">
        <v>57</v>
      </c>
      <c r="M72" s="6">
        <f ca="1">(TODAY()-Exit_Data[[#This Row],[DOJ]])/365.25</f>
        <v>5.9028062970568103</v>
      </c>
      <c r="N72" t="str">
        <f ca="1">_xlfn.IFS(Exit_Data[[#This Row],[Tenure]]&gt;9,"9+ Yrs",Exit_Data[[#This Row],[Tenure]]&gt;6,"6 to 9 Yrs",Exit_Data[[#This Row],[Tenure]]&gt;3,"3 to 6 Yrs",Exit_Data[[#This Row],[Tenure]]&gt;1,"1 to 3 Yrs",Exit_Data[[#This Row],[Tenure]]&gt;0,"0 to 1 Yr")</f>
        <v>3 to 6 Yrs</v>
      </c>
    </row>
    <row r="73" spans="1:14">
      <c r="A73" s="2">
        <v>72</v>
      </c>
      <c r="B73" s="2">
        <v>10175</v>
      </c>
      <c r="C73" t="s">
        <v>112</v>
      </c>
      <c r="D73" s="3" t="s">
        <v>20</v>
      </c>
      <c r="E73" t="s">
        <v>32</v>
      </c>
      <c r="F73" s="3" t="s">
        <v>17</v>
      </c>
      <c r="G73" s="3" t="str">
        <f>IF(ISBLANK(Exit_Data[[#This Row],[Exit Date]]),"Active","Inactive")</f>
        <v>Active</v>
      </c>
      <c r="H73" s="5">
        <v>45306</v>
      </c>
      <c r="I73" s="5"/>
      <c r="K73" s="3"/>
      <c r="L73" t="s">
        <v>18</v>
      </c>
      <c r="M73" s="6">
        <f ca="1">(TODAY()-Exit_Data[[#This Row],[DOJ]])/365.25</f>
        <v>2.4613278576317592</v>
      </c>
      <c r="N73" t="str">
        <f ca="1">_xlfn.IFS(Exit_Data[[#This Row],[Tenure]]&gt;9,"9+ Yrs",Exit_Data[[#This Row],[Tenure]]&gt;6,"6 to 9 Yrs",Exit_Data[[#This Row],[Tenure]]&gt;3,"3 to 6 Yrs",Exit_Data[[#This Row],[Tenure]]&gt;1,"1 to 3 Yrs",Exit_Data[[#This Row],[Tenure]]&gt;0,"0 to 1 Yr")</f>
        <v>1 to 3 Yrs</v>
      </c>
    </row>
    <row r="74" spans="1:14">
      <c r="A74" s="2">
        <v>73</v>
      </c>
      <c r="B74" s="2">
        <v>10176</v>
      </c>
      <c r="C74" t="s">
        <v>113</v>
      </c>
      <c r="D74" s="3" t="s">
        <v>20</v>
      </c>
      <c r="E74" t="s">
        <v>21</v>
      </c>
      <c r="F74" s="3" t="s">
        <v>25</v>
      </c>
      <c r="G74" s="3" t="str">
        <f>IF(ISBLANK(Exit_Data[[#This Row],[Exit Date]]),"Active","Inactive")</f>
        <v>Active</v>
      </c>
      <c r="H74" s="5">
        <v>45219</v>
      </c>
      <c r="I74" s="5"/>
      <c r="K74" s="3"/>
      <c r="L74" t="s">
        <v>62</v>
      </c>
      <c r="M74" s="6">
        <f ca="1">(TODAY()-Exit_Data[[#This Row],[DOJ]])/365.25</f>
        <v>2.6995208761122518</v>
      </c>
      <c r="N74" t="str">
        <f ca="1">_xlfn.IFS(Exit_Data[[#This Row],[Tenure]]&gt;9,"9+ Yrs",Exit_Data[[#This Row],[Tenure]]&gt;6,"6 to 9 Yrs",Exit_Data[[#This Row],[Tenure]]&gt;3,"3 to 6 Yrs",Exit_Data[[#This Row],[Tenure]]&gt;1,"1 to 3 Yrs",Exit_Data[[#This Row],[Tenure]]&gt;0,"0 to 1 Yr")</f>
        <v>1 to 3 Yrs</v>
      </c>
    </row>
    <row r="75" spans="1:14">
      <c r="A75" s="2">
        <v>74</v>
      </c>
      <c r="B75" s="2">
        <v>10177</v>
      </c>
      <c r="C75" t="s">
        <v>114</v>
      </c>
      <c r="D75" s="3" t="s">
        <v>20</v>
      </c>
      <c r="E75" t="s">
        <v>41</v>
      </c>
      <c r="F75" s="3" t="s">
        <v>25</v>
      </c>
      <c r="G75" s="3" t="str">
        <f>IF(ISBLANK(Exit_Data[[#This Row],[Exit Date]]),"Active","Inactive")</f>
        <v>Active</v>
      </c>
      <c r="H75" s="5">
        <v>44548</v>
      </c>
      <c r="I75" s="5"/>
      <c r="K75" s="3"/>
      <c r="L75" t="s">
        <v>62</v>
      </c>
      <c r="M75" s="6">
        <f ca="1">(TODAY()-Exit_Data[[#This Row],[DOJ]])/365.25</f>
        <v>4.5366187542778915</v>
      </c>
      <c r="N75" t="str">
        <f ca="1">_xlfn.IFS(Exit_Data[[#This Row],[Tenure]]&gt;9,"9+ Yrs",Exit_Data[[#This Row],[Tenure]]&gt;6,"6 to 9 Yrs",Exit_Data[[#This Row],[Tenure]]&gt;3,"3 to 6 Yrs",Exit_Data[[#This Row],[Tenure]]&gt;1,"1 to 3 Yrs",Exit_Data[[#This Row],[Tenure]]&gt;0,"0 to 1 Yr")</f>
        <v>3 to 6 Yrs</v>
      </c>
    </row>
    <row r="76" spans="1:14">
      <c r="A76" s="2">
        <v>75</v>
      </c>
      <c r="B76" s="2">
        <v>10178</v>
      </c>
      <c r="C76" t="s">
        <v>115</v>
      </c>
      <c r="D76" s="3" t="s">
        <v>20</v>
      </c>
      <c r="E76" t="s">
        <v>41</v>
      </c>
      <c r="F76" s="3" t="s">
        <v>25</v>
      </c>
      <c r="G76" s="3" t="str">
        <f>IF(ISBLANK(Exit_Data[[#This Row],[Exit Date]]),"Active","Inactive")</f>
        <v>Inactive</v>
      </c>
      <c r="H76" s="5">
        <v>44684</v>
      </c>
      <c r="I76" s="5">
        <v>45675</v>
      </c>
      <c r="J76" t="s">
        <v>42</v>
      </c>
      <c r="K76" s="3" t="s">
        <v>43</v>
      </c>
      <c r="L76" t="s">
        <v>62</v>
      </c>
      <c r="M76" s="6">
        <f ca="1">(TODAY()-Exit_Data[[#This Row],[DOJ]])/365.25</f>
        <v>4.1642710472279258</v>
      </c>
      <c r="N76" t="str">
        <f ca="1">_xlfn.IFS(Exit_Data[[#This Row],[Tenure]]&gt;9,"9+ Yrs",Exit_Data[[#This Row],[Tenure]]&gt;6,"6 to 9 Yrs",Exit_Data[[#This Row],[Tenure]]&gt;3,"3 to 6 Yrs",Exit_Data[[#This Row],[Tenure]]&gt;1,"1 to 3 Yrs",Exit_Data[[#This Row],[Tenure]]&gt;0,"0 to 1 Yr")</f>
        <v>3 to 6 Yrs</v>
      </c>
    </row>
    <row r="77" spans="1:14">
      <c r="A77" s="2">
        <v>76</v>
      </c>
      <c r="B77" s="2">
        <v>10179</v>
      </c>
      <c r="C77" t="s">
        <v>116</v>
      </c>
      <c r="D77" s="3" t="s">
        <v>15</v>
      </c>
      <c r="E77" t="s">
        <v>21</v>
      </c>
      <c r="F77" s="3" t="s">
        <v>117</v>
      </c>
      <c r="G77" s="3" t="str">
        <f>IF(ISBLANK(Exit_Data[[#This Row],[Exit Date]]),"Active","Inactive")</f>
        <v>Active</v>
      </c>
      <c r="H77" s="5">
        <v>44070</v>
      </c>
      <c r="I77" s="5"/>
      <c r="K77" s="3"/>
      <c r="L77" t="s">
        <v>62</v>
      </c>
      <c r="M77" s="6">
        <f ca="1">(TODAY()-Exit_Data[[#This Row],[DOJ]])/365.25</f>
        <v>5.8453114305270359</v>
      </c>
      <c r="N77" t="str">
        <f ca="1">_xlfn.IFS(Exit_Data[[#This Row],[Tenure]]&gt;9,"9+ Yrs",Exit_Data[[#This Row],[Tenure]]&gt;6,"6 to 9 Yrs",Exit_Data[[#This Row],[Tenure]]&gt;3,"3 to 6 Yrs",Exit_Data[[#This Row],[Tenure]]&gt;1,"1 to 3 Yrs",Exit_Data[[#This Row],[Tenure]]&gt;0,"0 to 1 Yr")</f>
        <v>3 to 6 Yrs</v>
      </c>
    </row>
    <row r="78" spans="1:14">
      <c r="A78" s="2">
        <v>77</v>
      </c>
      <c r="B78" s="2">
        <v>10180</v>
      </c>
      <c r="C78" t="s">
        <v>118</v>
      </c>
      <c r="D78" s="3" t="s">
        <v>15</v>
      </c>
      <c r="E78" t="s">
        <v>21</v>
      </c>
      <c r="F78" s="3" t="s">
        <v>22</v>
      </c>
      <c r="G78" s="3" t="str">
        <f>IF(ISBLANK(Exit_Data[[#This Row],[Exit Date]]),"Active","Inactive")</f>
        <v>Active</v>
      </c>
      <c r="H78" s="5">
        <v>45025</v>
      </c>
      <c r="I78" s="5"/>
      <c r="K78" s="3"/>
      <c r="L78" t="s">
        <v>23</v>
      </c>
      <c r="M78" s="6">
        <f ca="1">(TODAY()-Exit_Data[[#This Row],[DOJ]])/365.25</f>
        <v>3.2306639288158796</v>
      </c>
      <c r="N78" t="str">
        <f ca="1">_xlfn.IFS(Exit_Data[[#This Row],[Tenure]]&gt;9,"9+ Yrs",Exit_Data[[#This Row],[Tenure]]&gt;6,"6 to 9 Yrs",Exit_Data[[#This Row],[Tenure]]&gt;3,"3 to 6 Yrs",Exit_Data[[#This Row],[Tenure]]&gt;1,"1 to 3 Yrs",Exit_Data[[#This Row],[Tenure]]&gt;0,"0 to 1 Yr")</f>
        <v>3 to 6 Yrs</v>
      </c>
    </row>
    <row r="79" spans="1:14">
      <c r="A79" s="2">
        <v>78</v>
      </c>
      <c r="B79" s="2">
        <v>10181</v>
      </c>
      <c r="C79" t="s">
        <v>119</v>
      </c>
      <c r="D79" s="3" t="s">
        <v>15</v>
      </c>
      <c r="E79" t="s">
        <v>16</v>
      </c>
      <c r="F79" s="3" t="s">
        <v>22</v>
      </c>
      <c r="G79" s="3" t="str">
        <f>IF(ISBLANK(Exit_Data[[#This Row],[Exit Date]]),"Active","Inactive")</f>
        <v>Active</v>
      </c>
      <c r="H79" s="5">
        <v>44513</v>
      </c>
      <c r="I79" s="5"/>
      <c r="K79" s="3"/>
      <c r="L79" t="s">
        <v>23</v>
      </c>
      <c r="M79" s="6">
        <f ca="1">(TODAY()-Exit_Data[[#This Row],[DOJ]])/365.25</f>
        <v>4.6324435318275157</v>
      </c>
      <c r="N79" t="str">
        <f ca="1">_xlfn.IFS(Exit_Data[[#This Row],[Tenure]]&gt;9,"9+ Yrs",Exit_Data[[#This Row],[Tenure]]&gt;6,"6 to 9 Yrs",Exit_Data[[#This Row],[Tenure]]&gt;3,"3 to 6 Yrs",Exit_Data[[#This Row],[Tenure]]&gt;1,"1 to 3 Yrs",Exit_Data[[#This Row],[Tenure]]&gt;0,"0 to 1 Yr")</f>
        <v>3 to 6 Yrs</v>
      </c>
    </row>
    <row r="80" spans="1:14">
      <c r="A80" s="2">
        <v>79</v>
      </c>
      <c r="B80" s="2">
        <v>10182</v>
      </c>
      <c r="C80" t="s">
        <v>120</v>
      </c>
      <c r="D80" s="3" t="s">
        <v>15</v>
      </c>
      <c r="E80" t="s">
        <v>16</v>
      </c>
      <c r="F80" s="3" t="s">
        <v>79</v>
      </c>
      <c r="G80" s="3" t="str">
        <f>IF(ISBLANK(Exit_Data[[#This Row],[Exit Date]]),"Active","Inactive")</f>
        <v>Active</v>
      </c>
      <c r="H80" s="5">
        <v>43834</v>
      </c>
      <c r="I80" s="5"/>
      <c r="K80" s="3"/>
      <c r="L80" t="s">
        <v>23</v>
      </c>
      <c r="M80" s="6">
        <f ca="1">(TODAY()-Exit_Data[[#This Row],[DOJ]])/365.25</f>
        <v>6.491444216290212</v>
      </c>
      <c r="N80" t="str">
        <f ca="1">_xlfn.IFS(Exit_Data[[#This Row],[Tenure]]&gt;9,"9+ Yrs",Exit_Data[[#This Row],[Tenure]]&gt;6,"6 to 9 Yrs",Exit_Data[[#This Row],[Tenure]]&gt;3,"3 to 6 Yrs",Exit_Data[[#This Row],[Tenure]]&gt;1,"1 to 3 Yrs",Exit_Data[[#This Row],[Tenure]]&gt;0,"0 to 1 Yr")</f>
        <v>6 to 9 Yrs</v>
      </c>
    </row>
    <row r="81" spans="1:14">
      <c r="A81" s="2">
        <v>80</v>
      </c>
      <c r="B81" s="2">
        <v>10183</v>
      </c>
      <c r="C81" t="s">
        <v>121</v>
      </c>
      <c r="D81" s="3" t="s">
        <v>20</v>
      </c>
      <c r="E81" t="s">
        <v>49</v>
      </c>
      <c r="F81" s="3" t="s">
        <v>17</v>
      </c>
      <c r="G81" s="3" t="str">
        <f>IF(ISBLANK(Exit_Data[[#This Row],[Exit Date]]),"Active","Inactive")</f>
        <v>Active</v>
      </c>
      <c r="H81" s="5">
        <v>44639</v>
      </c>
      <c r="I81" s="5"/>
      <c r="K81" s="3"/>
      <c r="L81" t="s">
        <v>36</v>
      </c>
      <c r="M81" s="6">
        <f ca="1">(TODAY()-Exit_Data[[#This Row],[DOJ]])/365.25</f>
        <v>4.2874743326488707</v>
      </c>
      <c r="N81" t="str">
        <f ca="1">_xlfn.IFS(Exit_Data[[#This Row],[Tenure]]&gt;9,"9+ Yrs",Exit_Data[[#This Row],[Tenure]]&gt;6,"6 to 9 Yrs",Exit_Data[[#This Row],[Tenure]]&gt;3,"3 to 6 Yrs",Exit_Data[[#This Row],[Tenure]]&gt;1,"1 to 3 Yrs",Exit_Data[[#This Row],[Tenure]]&gt;0,"0 to 1 Yr")</f>
        <v>3 to 6 Yrs</v>
      </c>
    </row>
    <row r="82" spans="1:14">
      <c r="A82" s="2">
        <v>81</v>
      </c>
      <c r="B82" s="2">
        <v>10184</v>
      </c>
      <c r="C82" t="s">
        <v>122</v>
      </c>
      <c r="D82" s="3" t="s">
        <v>15</v>
      </c>
      <c r="E82" t="s">
        <v>32</v>
      </c>
      <c r="F82" s="3" t="s">
        <v>17</v>
      </c>
      <c r="G82" s="3" t="str">
        <f>IF(ISBLANK(Exit_Data[[#This Row],[Exit Date]]),"Active","Inactive")</f>
        <v>Active</v>
      </c>
      <c r="H82" s="5">
        <v>44407</v>
      </c>
      <c r="I82" s="5"/>
      <c r="K82" s="3"/>
      <c r="L82" t="s">
        <v>36</v>
      </c>
      <c r="M82" s="6">
        <f ca="1">(TODAY()-Exit_Data[[#This Row],[DOJ]])/365.25</f>
        <v>4.9226557152635184</v>
      </c>
      <c r="N82" t="str">
        <f ca="1">_xlfn.IFS(Exit_Data[[#This Row],[Tenure]]&gt;9,"9+ Yrs",Exit_Data[[#This Row],[Tenure]]&gt;6,"6 to 9 Yrs",Exit_Data[[#This Row],[Tenure]]&gt;3,"3 to 6 Yrs",Exit_Data[[#This Row],[Tenure]]&gt;1,"1 to 3 Yrs",Exit_Data[[#This Row],[Tenure]]&gt;0,"0 to 1 Yr")</f>
        <v>3 to 6 Yrs</v>
      </c>
    </row>
    <row r="83" spans="1:14">
      <c r="A83" s="2">
        <v>82</v>
      </c>
      <c r="B83" s="2">
        <v>10185</v>
      </c>
      <c r="C83" t="s">
        <v>123</v>
      </c>
      <c r="D83" s="3" t="s">
        <v>20</v>
      </c>
      <c r="E83" t="s">
        <v>41</v>
      </c>
      <c r="F83" s="3" t="s">
        <v>28</v>
      </c>
      <c r="G83" s="3" t="str">
        <f>IF(ISBLANK(Exit_Data[[#This Row],[Exit Date]]),"Active","Inactive")</f>
        <v>Active</v>
      </c>
      <c r="H83" s="5">
        <v>44978</v>
      </c>
      <c r="I83" s="5"/>
      <c r="K83" s="3"/>
      <c r="L83" t="s">
        <v>51</v>
      </c>
      <c r="M83" s="6">
        <f ca="1">(TODAY()-Exit_Data[[#This Row],[DOJ]])/365.25</f>
        <v>3.3593429158110881</v>
      </c>
      <c r="N83" t="str">
        <f ca="1">_xlfn.IFS(Exit_Data[[#This Row],[Tenure]]&gt;9,"9+ Yrs",Exit_Data[[#This Row],[Tenure]]&gt;6,"6 to 9 Yrs",Exit_Data[[#This Row],[Tenure]]&gt;3,"3 to 6 Yrs",Exit_Data[[#This Row],[Tenure]]&gt;1,"1 to 3 Yrs",Exit_Data[[#This Row],[Tenure]]&gt;0,"0 to 1 Yr")</f>
        <v>3 to 6 Yrs</v>
      </c>
    </row>
    <row r="84" spans="1:14">
      <c r="A84" s="2">
        <v>83</v>
      </c>
      <c r="B84" s="2">
        <v>10186</v>
      </c>
      <c r="C84" t="s">
        <v>124</v>
      </c>
      <c r="D84" s="3" t="s">
        <v>15</v>
      </c>
      <c r="E84" t="s">
        <v>32</v>
      </c>
      <c r="F84" s="3" t="s">
        <v>28</v>
      </c>
      <c r="G84" s="3" t="str">
        <f>IF(ISBLANK(Exit_Data[[#This Row],[Exit Date]]),"Active","Inactive")</f>
        <v>Active</v>
      </c>
      <c r="H84" s="5">
        <v>43962</v>
      </c>
      <c r="I84" s="5"/>
      <c r="K84" s="3"/>
      <c r="L84" t="s">
        <v>29</v>
      </c>
      <c r="M84" s="6">
        <f ca="1">(TODAY()-Exit_Data[[#This Row],[DOJ]])/365.25</f>
        <v>6.1409993155373028</v>
      </c>
      <c r="N84" t="str">
        <f ca="1">_xlfn.IFS(Exit_Data[[#This Row],[Tenure]]&gt;9,"9+ Yrs",Exit_Data[[#This Row],[Tenure]]&gt;6,"6 to 9 Yrs",Exit_Data[[#This Row],[Tenure]]&gt;3,"3 to 6 Yrs",Exit_Data[[#This Row],[Tenure]]&gt;1,"1 to 3 Yrs",Exit_Data[[#This Row],[Tenure]]&gt;0,"0 to 1 Yr")</f>
        <v>6 to 9 Yrs</v>
      </c>
    </row>
    <row r="85" spans="1:14">
      <c r="A85" s="2">
        <v>84</v>
      </c>
      <c r="B85" s="2">
        <v>10187</v>
      </c>
      <c r="C85" t="s">
        <v>125</v>
      </c>
      <c r="D85" s="3" t="s">
        <v>15</v>
      </c>
      <c r="E85" t="s">
        <v>16</v>
      </c>
      <c r="F85" s="3" t="s">
        <v>79</v>
      </c>
      <c r="G85" s="3" t="str">
        <f>IF(ISBLANK(Exit_Data[[#This Row],[Exit Date]]),"Active","Inactive")</f>
        <v>Active</v>
      </c>
      <c r="H85" s="5">
        <v>44720</v>
      </c>
      <c r="I85" s="5"/>
      <c r="K85" s="3"/>
      <c r="L85" t="s">
        <v>23</v>
      </c>
      <c r="M85" s="6">
        <f ca="1">(TODAY()-Exit_Data[[#This Row],[DOJ]])/365.25</f>
        <v>4.0657084188911705</v>
      </c>
      <c r="N85" t="str">
        <f ca="1">_xlfn.IFS(Exit_Data[[#This Row],[Tenure]]&gt;9,"9+ Yrs",Exit_Data[[#This Row],[Tenure]]&gt;6,"6 to 9 Yrs",Exit_Data[[#This Row],[Tenure]]&gt;3,"3 to 6 Yrs",Exit_Data[[#This Row],[Tenure]]&gt;1,"1 to 3 Yrs",Exit_Data[[#This Row],[Tenure]]&gt;0,"0 to 1 Yr")</f>
        <v>3 to 6 Yrs</v>
      </c>
    </row>
    <row r="86" spans="1:14">
      <c r="A86" s="2">
        <v>85</v>
      </c>
      <c r="B86" s="2">
        <v>10188</v>
      </c>
      <c r="C86" t="s">
        <v>126</v>
      </c>
      <c r="D86" s="3" t="s">
        <v>20</v>
      </c>
      <c r="E86" t="s">
        <v>16</v>
      </c>
      <c r="F86" s="3" t="s">
        <v>17</v>
      </c>
      <c r="G86" s="3" t="str">
        <f>IF(ISBLANK(Exit_Data[[#This Row],[Exit Date]]),"Active","Inactive")</f>
        <v>Active</v>
      </c>
      <c r="H86" s="5">
        <v>44486</v>
      </c>
      <c r="I86" s="5"/>
      <c r="K86" s="3"/>
      <c r="L86" t="s">
        <v>36</v>
      </c>
      <c r="M86" s="6">
        <f ca="1">(TODAY()-Exit_Data[[#This Row],[DOJ]])/365.25</f>
        <v>4.7063655030800824</v>
      </c>
      <c r="N86" t="str">
        <f ca="1">_xlfn.IFS(Exit_Data[[#This Row],[Tenure]]&gt;9,"9+ Yrs",Exit_Data[[#This Row],[Tenure]]&gt;6,"6 to 9 Yrs",Exit_Data[[#This Row],[Tenure]]&gt;3,"3 to 6 Yrs",Exit_Data[[#This Row],[Tenure]]&gt;1,"1 to 3 Yrs",Exit_Data[[#This Row],[Tenure]]&gt;0,"0 to 1 Yr")</f>
        <v>3 to 6 Yrs</v>
      </c>
    </row>
    <row r="87" spans="1:14">
      <c r="A87" s="2">
        <v>86</v>
      </c>
      <c r="B87" s="2">
        <v>10189</v>
      </c>
      <c r="C87" t="s">
        <v>127</v>
      </c>
      <c r="D87" s="3" t="s">
        <v>15</v>
      </c>
      <c r="E87" t="s">
        <v>21</v>
      </c>
      <c r="F87" s="3" t="s">
        <v>17</v>
      </c>
      <c r="G87" s="3" t="str">
        <f>IF(ISBLANK(Exit_Data[[#This Row],[Exit Date]]),"Active","Inactive")</f>
        <v>Active</v>
      </c>
      <c r="H87" s="5">
        <v>44194</v>
      </c>
      <c r="I87" s="5"/>
      <c r="K87" s="3"/>
      <c r="L87" t="s">
        <v>18</v>
      </c>
      <c r="M87" s="6">
        <f ca="1">(TODAY()-Exit_Data[[#This Row],[DOJ]])/365.25</f>
        <v>5.505817932922656</v>
      </c>
      <c r="N87" t="str">
        <f ca="1">_xlfn.IFS(Exit_Data[[#This Row],[Tenure]]&gt;9,"9+ Yrs",Exit_Data[[#This Row],[Tenure]]&gt;6,"6 to 9 Yrs",Exit_Data[[#This Row],[Tenure]]&gt;3,"3 to 6 Yrs",Exit_Data[[#This Row],[Tenure]]&gt;1,"1 to 3 Yrs",Exit_Data[[#This Row],[Tenure]]&gt;0,"0 to 1 Yr")</f>
        <v>3 to 6 Yrs</v>
      </c>
    </row>
    <row r="88" spans="1:14">
      <c r="A88" s="2">
        <v>87</v>
      </c>
      <c r="B88" s="2">
        <v>10190</v>
      </c>
      <c r="C88" t="s">
        <v>128</v>
      </c>
      <c r="D88" s="3" t="s">
        <v>15</v>
      </c>
      <c r="E88" t="s">
        <v>32</v>
      </c>
      <c r="F88" s="3" t="s">
        <v>22</v>
      </c>
      <c r="G88" s="3" t="str">
        <f>IF(ISBLANK(Exit_Data[[#This Row],[Exit Date]]),"Active","Inactive")</f>
        <v>Inactive</v>
      </c>
      <c r="H88" s="5">
        <v>45518</v>
      </c>
      <c r="I88" s="5">
        <v>45817</v>
      </c>
      <c r="J88" s="5" t="s">
        <v>34</v>
      </c>
      <c r="K88" s="3" t="s">
        <v>129</v>
      </c>
      <c r="L88" t="s">
        <v>23</v>
      </c>
      <c r="M88" s="6">
        <f ca="1">(TODAY()-Exit_Data[[#This Row],[DOJ]])/365.25</f>
        <v>1.8809034907597535</v>
      </c>
      <c r="N88" t="str">
        <f ca="1">_xlfn.IFS(Exit_Data[[#This Row],[Tenure]]&gt;9,"9+ Yrs",Exit_Data[[#This Row],[Tenure]]&gt;6,"6 to 9 Yrs",Exit_Data[[#This Row],[Tenure]]&gt;3,"3 to 6 Yrs",Exit_Data[[#This Row],[Tenure]]&gt;1,"1 to 3 Yrs",Exit_Data[[#This Row],[Tenure]]&gt;0,"0 to 1 Yr")</f>
        <v>1 to 3 Yrs</v>
      </c>
    </row>
    <row r="89" spans="1:14">
      <c r="A89" s="2">
        <v>88</v>
      </c>
      <c r="B89" s="2">
        <v>10191</v>
      </c>
      <c r="C89" t="s">
        <v>130</v>
      </c>
      <c r="D89" s="3" t="s">
        <v>15</v>
      </c>
      <c r="E89" t="s">
        <v>32</v>
      </c>
      <c r="F89" s="3" t="s">
        <v>25</v>
      </c>
      <c r="G89" s="3" t="str">
        <f>IF(ISBLANK(Exit_Data[[#This Row],[Exit Date]]),"Active","Inactive")</f>
        <v>Active</v>
      </c>
      <c r="H89" s="5">
        <v>45113</v>
      </c>
      <c r="I89" s="5"/>
      <c r="K89" s="3"/>
      <c r="L89" t="s">
        <v>26</v>
      </c>
      <c r="M89" s="6">
        <f ca="1">(TODAY()-Exit_Data[[#This Row],[DOJ]])/365.25</f>
        <v>2.9897330595482545</v>
      </c>
      <c r="N89" t="str">
        <f ca="1">_xlfn.IFS(Exit_Data[[#This Row],[Tenure]]&gt;9,"9+ Yrs",Exit_Data[[#This Row],[Tenure]]&gt;6,"6 to 9 Yrs",Exit_Data[[#This Row],[Tenure]]&gt;3,"3 to 6 Yrs",Exit_Data[[#This Row],[Tenure]]&gt;1,"1 to 3 Yrs",Exit_Data[[#This Row],[Tenure]]&gt;0,"0 to 1 Yr")</f>
        <v>1 to 3 Yrs</v>
      </c>
    </row>
    <row r="90" spans="1:14">
      <c r="A90" s="2">
        <v>89</v>
      </c>
      <c r="B90" s="2">
        <v>10192</v>
      </c>
      <c r="C90" t="s">
        <v>131</v>
      </c>
      <c r="D90" s="3" t="s">
        <v>20</v>
      </c>
      <c r="E90" t="s">
        <v>21</v>
      </c>
      <c r="F90" s="3" t="s">
        <v>25</v>
      </c>
      <c r="G90" s="3" t="str">
        <f>IF(ISBLANK(Exit_Data[[#This Row],[Exit Date]]),"Active","Inactive")</f>
        <v>Active</v>
      </c>
      <c r="H90" s="5">
        <v>44645</v>
      </c>
      <c r="I90" s="5"/>
      <c r="K90" s="3"/>
      <c r="L90" t="s">
        <v>59</v>
      </c>
      <c r="M90" s="6">
        <f ca="1">(TODAY()-Exit_Data[[#This Row],[DOJ]])/365.25</f>
        <v>4.2710472279260783</v>
      </c>
      <c r="N90" t="str">
        <f ca="1">_xlfn.IFS(Exit_Data[[#This Row],[Tenure]]&gt;9,"9+ Yrs",Exit_Data[[#This Row],[Tenure]]&gt;6,"6 to 9 Yrs",Exit_Data[[#This Row],[Tenure]]&gt;3,"3 to 6 Yrs",Exit_Data[[#This Row],[Tenure]]&gt;1,"1 to 3 Yrs",Exit_Data[[#This Row],[Tenure]]&gt;0,"0 to 1 Yr")</f>
        <v>3 to 6 Yrs</v>
      </c>
    </row>
    <row r="91" spans="1:14">
      <c r="A91" s="2">
        <v>90</v>
      </c>
      <c r="B91" s="2">
        <v>10193</v>
      </c>
      <c r="C91" t="s">
        <v>132</v>
      </c>
      <c r="D91" s="3" t="s">
        <v>15</v>
      </c>
      <c r="E91" t="s">
        <v>16</v>
      </c>
      <c r="F91" s="3" t="s">
        <v>25</v>
      </c>
      <c r="G91" s="3" t="str">
        <f>IF(ISBLANK(Exit_Data[[#This Row],[Exit Date]]),"Active","Inactive")</f>
        <v>Active</v>
      </c>
      <c r="H91" s="5">
        <v>44296</v>
      </c>
      <c r="I91" s="5"/>
      <c r="K91" s="3"/>
      <c r="L91" t="s">
        <v>62</v>
      </c>
      <c r="M91" s="6">
        <f ca="1">(TODAY()-Exit_Data[[#This Row],[DOJ]])/365.25</f>
        <v>5.2265571526351815</v>
      </c>
      <c r="N91" t="str">
        <f ca="1">_xlfn.IFS(Exit_Data[[#This Row],[Tenure]]&gt;9,"9+ Yrs",Exit_Data[[#This Row],[Tenure]]&gt;6,"6 to 9 Yrs",Exit_Data[[#This Row],[Tenure]]&gt;3,"3 to 6 Yrs",Exit_Data[[#This Row],[Tenure]]&gt;1,"1 to 3 Yrs",Exit_Data[[#This Row],[Tenure]]&gt;0,"0 to 1 Yr")</f>
        <v>3 to 6 Yrs</v>
      </c>
    </row>
    <row r="92" spans="1:14">
      <c r="A92" s="2">
        <v>91</v>
      </c>
      <c r="B92" s="2">
        <v>10194</v>
      </c>
      <c r="C92" t="s">
        <v>133</v>
      </c>
      <c r="D92" s="3" t="s">
        <v>15</v>
      </c>
      <c r="E92" t="s">
        <v>16</v>
      </c>
      <c r="F92" s="3" t="s">
        <v>17</v>
      </c>
      <c r="G92" s="3" t="str">
        <f>IF(ISBLANK(Exit_Data[[#This Row],[Exit Date]]),"Active","Inactive")</f>
        <v>Active</v>
      </c>
      <c r="H92" s="5">
        <v>45160</v>
      </c>
      <c r="I92" s="5"/>
      <c r="K92" s="3"/>
      <c r="L92" t="s">
        <v>18</v>
      </c>
      <c r="M92" s="6">
        <f ca="1">(TODAY()-Exit_Data[[#This Row],[DOJ]])/365.25</f>
        <v>2.861054072553046</v>
      </c>
      <c r="N92" t="str">
        <f ca="1">_xlfn.IFS(Exit_Data[[#This Row],[Tenure]]&gt;9,"9+ Yrs",Exit_Data[[#This Row],[Tenure]]&gt;6,"6 to 9 Yrs",Exit_Data[[#This Row],[Tenure]]&gt;3,"3 to 6 Yrs",Exit_Data[[#This Row],[Tenure]]&gt;1,"1 to 3 Yrs",Exit_Data[[#This Row],[Tenure]]&gt;0,"0 to 1 Yr")</f>
        <v>1 to 3 Yrs</v>
      </c>
    </row>
    <row r="93" spans="1:14">
      <c r="A93" s="2">
        <v>92</v>
      </c>
      <c r="B93" s="2">
        <v>10195</v>
      </c>
      <c r="C93" t="s">
        <v>134</v>
      </c>
      <c r="D93" s="3" t="s">
        <v>15</v>
      </c>
      <c r="E93" t="s">
        <v>21</v>
      </c>
      <c r="F93" s="3" t="s">
        <v>22</v>
      </c>
      <c r="G93" s="3" t="str">
        <f>IF(ISBLANK(Exit_Data[[#This Row],[Exit Date]]),"Active","Inactive")</f>
        <v>Active</v>
      </c>
      <c r="H93" s="5">
        <v>43956</v>
      </c>
      <c r="I93" s="5"/>
      <c r="K93" s="3"/>
      <c r="L93" t="s">
        <v>23</v>
      </c>
      <c r="M93" s="6">
        <f ca="1">(TODAY()-Exit_Data[[#This Row],[DOJ]])/365.25</f>
        <v>6.1574264202600961</v>
      </c>
      <c r="N93" t="str">
        <f ca="1">_xlfn.IFS(Exit_Data[[#This Row],[Tenure]]&gt;9,"9+ Yrs",Exit_Data[[#This Row],[Tenure]]&gt;6,"6 to 9 Yrs",Exit_Data[[#This Row],[Tenure]]&gt;3,"3 to 6 Yrs",Exit_Data[[#This Row],[Tenure]]&gt;1,"1 to 3 Yrs",Exit_Data[[#This Row],[Tenure]]&gt;0,"0 to 1 Yr")</f>
        <v>6 to 9 Yrs</v>
      </c>
    </row>
    <row r="94" spans="1:14">
      <c r="A94" s="2">
        <v>93</v>
      </c>
      <c r="B94" s="2">
        <v>10196</v>
      </c>
      <c r="C94" t="s">
        <v>135</v>
      </c>
      <c r="D94" s="3" t="s">
        <v>15</v>
      </c>
      <c r="E94" t="s">
        <v>21</v>
      </c>
      <c r="F94" s="3" t="s">
        <v>28</v>
      </c>
      <c r="G94" s="3" t="str">
        <f>IF(ISBLANK(Exit_Data[[#This Row],[Exit Date]]),"Active","Inactive")</f>
        <v>Active</v>
      </c>
      <c r="H94" s="5">
        <v>44724</v>
      </c>
      <c r="I94" s="5"/>
      <c r="K94" s="3"/>
      <c r="L94" t="s">
        <v>51</v>
      </c>
      <c r="M94" s="6">
        <f ca="1">(TODAY()-Exit_Data[[#This Row],[DOJ]])/365.25</f>
        <v>4.0547570157426422</v>
      </c>
      <c r="N94" t="str">
        <f ca="1">_xlfn.IFS(Exit_Data[[#This Row],[Tenure]]&gt;9,"9+ Yrs",Exit_Data[[#This Row],[Tenure]]&gt;6,"6 to 9 Yrs",Exit_Data[[#This Row],[Tenure]]&gt;3,"3 to 6 Yrs",Exit_Data[[#This Row],[Tenure]]&gt;1,"1 to 3 Yrs",Exit_Data[[#This Row],[Tenure]]&gt;0,"0 to 1 Yr")</f>
        <v>3 to 6 Yrs</v>
      </c>
    </row>
    <row r="95" spans="1:14">
      <c r="A95" s="2">
        <v>94</v>
      </c>
      <c r="B95" s="2">
        <v>10197</v>
      </c>
      <c r="C95" t="s">
        <v>136</v>
      </c>
      <c r="D95" s="3" t="s">
        <v>20</v>
      </c>
      <c r="E95" t="s">
        <v>21</v>
      </c>
      <c r="F95" s="3" t="s">
        <v>25</v>
      </c>
      <c r="G95" s="3" t="str">
        <f>IF(ISBLANK(Exit_Data[[#This Row],[Exit Date]]),"Active","Inactive")</f>
        <v>Active</v>
      </c>
      <c r="H95" s="5">
        <v>44214</v>
      </c>
      <c r="I95" s="5"/>
      <c r="K95" s="3"/>
      <c r="L95" t="s">
        <v>59</v>
      </c>
      <c r="M95" s="6">
        <f ca="1">(TODAY()-Exit_Data[[#This Row],[DOJ]])/365.25</f>
        <v>5.4510609171800137</v>
      </c>
      <c r="N95" t="str">
        <f ca="1">_xlfn.IFS(Exit_Data[[#This Row],[Tenure]]&gt;9,"9+ Yrs",Exit_Data[[#This Row],[Tenure]]&gt;6,"6 to 9 Yrs",Exit_Data[[#This Row],[Tenure]]&gt;3,"3 to 6 Yrs",Exit_Data[[#This Row],[Tenure]]&gt;1,"1 to 3 Yrs",Exit_Data[[#This Row],[Tenure]]&gt;0,"0 to 1 Yr")</f>
        <v>3 to 6 Yrs</v>
      </c>
    </row>
    <row r="96" spans="1:14">
      <c r="A96" s="2">
        <v>95</v>
      </c>
      <c r="B96" s="2">
        <v>10198</v>
      </c>
      <c r="C96" t="s">
        <v>137</v>
      </c>
      <c r="D96" s="3" t="s">
        <v>15</v>
      </c>
      <c r="E96" t="s">
        <v>32</v>
      </c>
      <c r="F96" s="3" t="s">
        <v>25</v>
      </c>
      <c r="G96" s="3" t="str">
        <f>IF(ISBLANK(Exit_Data[[#This Row],[Exit Date]]),"Active","Inactive")</f>
        <v>Active</v>
      </c>
      <c r="H96" s="5">
        <v>43893</v>
      </c>
      <c r="I96" s="5"/>
      <c r="K96" s="3"/>
      <c r="L96" t="s">
        <v>26</v>
      </c>
      <c r="M96" s="6">
        <f ca="1">(TODAY()-Exit_Data[[#This Row],[DOJ]])/365.25</f>
        <v>6.3299110198494182</v>
      </c>
      <c r="N96" t="str">
        <f ca="1">_xlfn.IFS(Exit_Data[[#This Row],[Tenure]]&gt;9,"9+ Yrs",Exit_Data[[#This Row],[Tenure]]&gt;6,"6 to 9 Yrs",Exit_Data[[#This Row],[Tenure]]&gt;3,"3 to 6 Yrs",Exit_Data[[#This Row],[Tenure]]&gt;1,"1 to 3 Yrs",Exit_Data[[#This Row],[Tenure]]&gt;0,"0 to 1 Yr")</f>
        <v>6 to 9 Yrs</v>
      </c>
    </row>
    <row r="97" spans="1:14">
      <c r="A97" s="2">
        <v>96</v>
      </c>
      <c r="B97" s="2">
        <v>10199</v>
      </c>
      <c r="C97" t="s">
        <v>138</v>
      </c>
      <c r="D97" s="3" t="s">
        <v>20</v>
      </c>
      <c r="E97" t="s">
        <v>41</v>
      </c>
      <c r="F97" s="3" t="s">
        <v>25</v>
      </c>
      <c r="G97" s="3" t="str">
        <f>IF(ISBLANK(Exit_Data[[#This Row],[Exit Date]]),"Active","Inactive")</f>
        <v>Active</v>
      </c>
      <c r="H97" s="5">
        <v>45196</v>
      </c>
      <c r="I97" s="5"/>
      <c r="K97" s="3"/>
      <c r="L97" t="s">
        <v>59</v>
      </c>
      <c r="M97" s="6">
        <f ca="1">(TODAY()-Exit_Data[[#This Row],[DOJ]])/365.25</f>
        <v>2.7624914442162902</v>
      </c>
      <c r="N97" t="str">
        <f ca="1">_xlfn.IFS(Exit_Data[[#This Row],[Tenure]]&gt;9,"9+ Yrs",Exit_Data[[#This Row],[Tenure]]&gt;6,"6 to 9 Yrs",Exit_Data[[#This Row],[Tenure]]&gt;3,"3 to 6 Yrs",Exit_Data[[#This Row],[Tenure]]&gt;1,"1 to 3 Yrs",Exit_Data[[#This Row],[Tenure]]&gt;0,"0 to 1 Yr")</f>
        <v>1 to 3 Yrs</v>
      </c>
    </row>
    <row r="98" spans="1:14">
      <c r="A98" s="2">
        <v>97</v>
      </c>
      <c r="B98" s="2">
        <v>10200</v>
      </c>
      <c r="C98" t="s">
        <v>139</v>
      </c>
      <c r="D98" s="3" t="s">
        <v>15</v>
      </c>
      <c r="E98" t="s">
        <v>41</v>
      </c>
      <c r="F98" s="3" t="s">
        <v>25</v>
      </c>
      <c r="G98" s="3" t="str">
        <f>IF(ISBLANK(Exit_Data[[#This Row],[Exit Date]]),"Active","Inactive")</f>
        <v>Active</v>
      </c>
      <c r="H98" s="5">
        <v>44849</v>
      </c>
      <c r="I98" s="5"/>
      <c r="K98" s="3"/>
      <c r="L98" t="s">
        <v>26</v>
      </c>
      <c r="M98" s="6">
        <f ca="1">(TODAY()-Exit_Data[[#This Row],[DOJ]])/365.25</f>
        <v>3.7125256673511293</v>
      </c>
      <c r="N98" t="str">
        <f ca="1">_xlfn.IFS(Exit_Data[[#This Row],[Tenure]]&gt;9,"9+ Yrs",Exit_Data[[#This Row],[Tenure]]&gt;6,"6 to 9 Yrs",Exit_Data[[#This Row],[Tenure]]&gt;3,"3 to 6 Yrs",Exit_Data[[#This Row],[Tenure]]&gt;1,"1 to 3 Yrs",Exit_Data[[#This Row],[Tenure]]&gt;0,"0 to 1 Yr")</f>
        <v>3 to 6 Yrs</v>
      </c>
    </row>
    <row r="99" spans="1:14">
      <c r="A99" s="2">
        <v>98</v>
      </c>
      <c r="B99" s="2">
        <v>10201</v>
      </c>
      <c r="C99" t="s">
        <v>140</v>
      </c>
      <c r="D99" s="3" t="s">
        <v>20</v>
      </c>
      <c r="E99" t="s">
        <v>16</v>
      </c>
      <c r="F99" s="3" t="s">
        <v>25</v>
      </c>
      <c r="G99" s="3" t="str">
        <f>IF(ISBLANK(Exit_Data[[#This Row],[Exit Date]]),"Active","Inactive")</f>
        <v>Active</v>
      </c>
      <c r="H99" s="5">
        <v>45299</v>
      </c>
      <c r="I99" s="5"/>
      <c r="K99" s="3"/>
      <c r="L99" t="s">
        <v>59</v>
      </c>
      <c r="M99" s="6">
        <f ca="1">(TODAY()-Exit_Data[[#This Row],[DOJ]])/365.25</f>
        <v>2.4804928131416837</v>
      </c>
      <c r="N99" t="str">
        <f ca="1">_xlfn.IFS(Exit_Data[[#This Row],[Tenure]]&gt;9,"9+ Yrs",Exit_Data[[#This Row],[Tenure]]&gt;6,"6 to 9 Yrs",Exit_Data[[#This Row],[Tenure]]&gt;3,"3 to 6 Yrs",Exit_Data[[#This Row],[Tenure]]&gt;1,"1 to 3 Yrs",Exit_Data[[#This Row],[Tenure]]&gt;0,"0 to 1 Yr")</f>
        <v>1 to 3 Yrs</v>
      </c>
    </row>
    <row r="100" spans="1:14">
      <c r="A100" s="2">
        <v>99</v>
      </c>
      <c r="B100" s="2">
        <v>10202</v>
      </c>
      <c r="C100" t="s">
        <v>141</v>
      </c>
      <c r="D100" s="3" t="s">
        <v>20</v>
      </c>
      <c r="E100" t="s">
        <v>21</v>
      </c>
      <c r="F100" s="3" t="s">
        <v>25</v>
      </c>
      <c r="G100" s="3" t="str">
        <f>IF(ISBLANK(Exit_Data[[#This Row],[Exit Date]]),"Active","Inactive")</f>
        <v>Active</v>
      </c>
      <c r="H100" s="5">
        <v>45060</v>
      </c>
      <c r="I100" s="5"/>
      <c r="K100" s="3"/>
      <c r="L100" t="s">
        <v>59</v>
      </c>
      <c r="M100" s="6">
        <f ca="1">(TODAY()-Exit_Data[[#This Row],[DOJ]])/365.25</f>
        <v>3.1348391512662559</v>
      </c>
      <c r="N100" t="str">
        <f ca="1">_xlfn.IFS(Exit_Data[[#This Row],[Tenure]]&gt;9,"9+ Yrs",Exit_Data[[#This Row],[Tenure]]&gt;6,"6 to 9 Yrs",Exit_Data[[#This Row],[Tenure]]&gt;3,"3 to 6 Yrs",Exit_Data[[#This Row],[Tenure]]&gt;1,"1 to 3 Yrs",Exit_Data[[#This Row],[Tenure]]&gt;0,"0 to 1 Yr")</f>
        <v>3 to 6 Yrs</v>
      </c>
    </row>
    <row r="101" spans="1:14">
      <c r="A101" s="2">
        <v>100</v>
      </c>
      <c r="B101" s="2">
        <v>10203</v>
      </c>
      <c r="C101" t="s">
        <v>142</v>
      </c>
      <c r="D101" s="3" t="s">
        <v>20</v>
      </c>
      <c r="E101" t="s">
        <v>16</v>
      </c>
      <c r="F101" s="3" t="s">
        <v>25</v>
      </c>
      <c r="G101" s="3" t="str">
        <f>IF(ISBLANK(Exit_Data[[#This Row],[Exit Date]]),"Active","Inactive")</f>
        <v>Active</v>
      </c>
      <c r="H101" s="5">
        <v>44368</v>
      </c>
      <c r="I101" s="5"/>
      <c r="K101" s="3"/>
      <c r="L101" t="s">
        <v>26</v>
      </c>
      <c r="M101" s="6">
        <f ca="1">(TODAY()-Exit_Data[[#This Row],[DOJ]])/365.25</f>
        <v>5.02943189596167</v>
      </c>
      <c r="N101" t="str">
        <f ca="1">_xlfn.IFS(Exit_Data[[#This Row],[Tenure]]&gt;9,"9+ Yrs",Exit_Data[[#This Row],[Tenure]]&gt;6,"6 to 9 Yrs",Exit_Data[[#This Row],[Tenure]]&gt;3,"3 to 6 Yrs",Exit_Data[[#This Row],[Tenure]]&gt;1,"1 to 3 Yrs",Exit_Data[[#This Row],[Tenure]]&gt;0,"0 to 1 Yr")</f>
        <v>3 to 6 Yrs</v>
      </c>
    </row>
    <row r="102" spans="1:14">
      <c r="A102" s="2">
        <v>101</v>
      </c>
      <c r="B102" s="2">
        <v>10204</v>
      </c>
      <c r="C102" t="s">
        <v>143</v>
      </c>
      <c r="D102" s="3" t="s">
        <v>15</v>
      </c>
      <c r="E102" t="s">
        <v>21</v>
      </c>
      <c r="F102" s="3" t="s">
        <v>22</v>
      </c>
      <c r="G102" s="3" t="str">
        <f>IF(ISBLANK(Exit_Data[[#This Row],[Exit Date]]),"Active","Inactive")</f>
        <v>Active</v>
      </c>
      <c r="H102" s="5">
        <v>43831</v>
      </c>
      <c r="I102" s="5"/>
      <c r="K102" s="3"/>
      <c r="L102" t="s">
        <v>57</v>
      </c>
      <c r="M102" s="6">
        <f ca="1">(TODAY()-Exit_Data[[#This Row],[DOJ]])/365.25</f>
        <v>6.4996577686516082</v>
      </c>
      <c r="N102" t="str">
        <f ca="1">_xlfn.IFS(Exit_Data[[#This Row],[Tenure]]&gt;9,"9+ Yrs",Exit_Data[[#This Row],[Tenure]]&gt;6,"6 to 9 Yrs",Exit_Data[[#This Row],[Tenure]]&gt;3,"3 to 6 Yrs",Exit_Data[[#This Row],[Tenure]]&gt;1,"1 to 3 Yrs",Exit_Data[[#This Row],[Tenure]]&gt;0,"0 to 1 Yr")</f>
        <v>6 to 9 Yrs</v>
      </c>
    </row>
    <row r="103" spans="1:14">
      <c r="A103" s="2">
        <v>102</v>
      </c>
      <c r="B103" s="2">
        <v>10205</v>
      </c>
      <c r="C103" t="s">
        <v>144</v>
      </c>
      <c r="D103" s="3" t="s">
        <v>20</v>
      </c>
      <c r="E103" t="s">
        <v>32</v>
      </c>
      <c r="F103" s="3" t="s">
        <v>22</v>
      </c>
      <c r="G103" s="3" t="str">
        <f>IF(ISBLANK(Exit_Data[[#This Row],[Exit Date]]),"Active","Inactive")</f>
        <v>Active</v>
      </c>
      <c r="H103" s="5">
        <v>44601</v>
      </c>
      <c r="I103" s="5"/>
      <c r="K103" s="3"/>
      <c r="L103" t="s">
        <v>23</v>
      </c>
      <c r="M103" s="6">
        <f ca="1">(TODAY()-Exit_Data[[#This Row],[DOJ]])/365.25</f>
        <v>4.3915126625598901</v>
      </c>
      <c r="N103" t="str">
        <f ca="1">_xlfn.IFS(Exit_Data[[#This Row],[Tenure]]&gt;9,"9+ Yrs",Exit_Data[[#This Row],[Tenure]]&gt;6,"6 to 9 Yrs",Exit_Data[[#This Row],[Tenure]]&gt;3,"3 to 6 Yrs",Exit_Data[[#This Row],[Tenure]]&gt;1,"1 to 3 Yrs",Exit_Data[[#This Row],[Tenure]]&gt;0,"0 to 1 Yr")</f>
        <v>3 to 6 Yrs</v>
      </c>
    </row>
    <row r="104" spans="1:14">
      <c r="A104" s="2">
        <v>103</v>
      </c>
      <c r="B104" s="2">
        <v>10206</v>
      </c>
      <c r="C104" t="s">
        <v>145</v>
      </c>
      <c r="D104" s="3" t="s">
        <v>20</v>
      </c>
      <c r="E104" t="s">
        <v>21</v>
      </c>
      <c r="F104" s="3" t="s">
        <v>28</v>
      </c>
      <c r="G104" s="3" t="str">
        <f>IF(ISBLANK(Exit_Data[[#This Row],[Exit Date]]),"Active","Inactive")</f>
        <v>Inactive</v>
      </c>
      <c r="H104" s="5">
        <v>45125</v>
      </c>
      <c r="I104" s="5">
        <v>45782</v>
      </c>
      <c r="J104" s="5" t="s">
        <v>34</v>
      </c>
      <c r="K104" s="3" t="s">
        <v>72</v>
      </c>
      <c r="L104" t="s">
        <v>29</v>
      </c>
      <c r="M104" s="6">
        <f ca="1">(TODAY()-Exit_Data[[#This Row],[DOJ]])/365.25</f>
        <v>2.9568788501026693</v>
      </c>
      <c r="N104" t="str">
        <f ca="1">_xlfn.IFS(Exit_Data[[#This Row],[Tenure]]&gt;9,"9+ Yrs",Exit_Data[[#This Row],[Tenure]]&gt;6,"6 to 9 Yrs",Exit_Data[[#This Row],[Tenure]]&gt;3,"3 to 6 Yrs",Exit_Data[[#This Row],[Tenure]]&gt;1,"1 to 3 Yrs",Exit_Data[[#This Row],[Tenure]]&gt;0,"0 to 1 Yr")</f>
        <v>1 to 3 Yrs</v>
      </c>
    </row>
    <row r="105" spans="1:14">
      <c r="A105" s="2">
        <v>104</v>
      </c>
      <c r="B105" s="2">
        <v>10207</v>
      </c>
      <c r="C105" t="s">
        <v>146</v>
      </c>
      <c r="D105" s="3" t="s">
        <v>20</v>
      </c>
      <c r="E105" t="s">
        <v>41</v>
      </c>
      <c r="F105" s="3" t="s">
        <v>28</v>
      </c>
      <c r="G105" s="3" t="str">
        <f>IF(ISBLANK(Exit_Data[[#This Row],[Exit Date]]),"Active","Inactive")</f>
        <v>Active</v>
      </c>
      <c r="H105" s="5">
        <v>44496</v>
      </c>
      <c r="I105" s="5"/>
      <c r="K105" s="3"/>
      <c r="L105" t="s">
        <v>29</v>
      </c>
      <c r="M105" s="6">
        <f ca="1">(TODAY()-Exit_Data[[#This Row],[DOJ]])/365.25</f>
        <v>4.6789869952087608</v>
      </c>
      <c r="N105" t="str">
        <f ca="1">_xlfn.IFS(Exit_Data[[#This Row],[Tenure]]&gt;9,"9+ Yrs",Exit_Data[[#This Row],[Tenure]]&gt;6,"6 to 9 Yrs",Exit_Data[[#This Row],[Tenure]]&gt;3,"3 to 6 Yrs",Exit_Data[[#This Row],[Tenure]]&gt;1,"1 to 3 Yrs",Exit_Data[[#This Row],[Tenure]]&gt;0,"0 to 1 Yr")</f>
        <v>3 to 6 Yrs</v>
      </c>
    </row>
    <row r="106" spans="1:14">
      <c r="A106" s="2">
        <v>105</v>
      </c>
      <c r="B106" s="2">
        <v>10208</v>
      </c>
      <c r="C106" t="s">
        <v>147</v>
      </c>
      <c r="D106" s="3" t="s">
        <v>15</v>
      </c>
      <c r="E106" t="s">
        <v>16</v>
      </c>
      <c r="F106" s="3" t="s">
        <v>17</v>
      </c>
      <c r="G106" s="3" t="str">
        <f>IF(ISBLANK(Exit_Data[[#This Row],[Exit Date]]),"Active","Inactive")</f>
        <v>Active</v>
      </c>
      <c r="H106" s="5">
        <v>43927</v>
      </c>
      <c r="I106" s="5"/>
      <c r="K106" s="3"/>
      <c r="L106" t="s">
        <v>18</v>
      </c>
      <c r="M106" s="6">
        <f ca="1">(TODAY()-Exit_Data[[#This Row],[DOJ]])/365.25</f>
        <v>6.236824093086927</v>
      </c>
      <c r="N106" t="str">
        <f ca="1">_xlfn.IFS(Exit_Data[[#This Row],[Tenure]]&gt;9,"9+ Yrs",Exit_Data[[#This Row],[Tenure]]&gt;6,"6 to 9 Yrs",Exit_Data[[#This Row],[Tenure]]&gt;3,"3 to 6 Yrs",Exit_Data[[#This Row],[Tenure]]&gt;1,"1 to 3 Yrs",Exit_Data[[#This Row],[Tenure]]&gt;0,"0 to 1 Yr")</f>
        <v>6 to 9 Yrs</v>
      </c>
    </row>
    <row r="107" spans="1:14">
      <c r="A107" s="2">
        <v>106</v>
      </c>
      <c r="B107" s="2">
        <v>10209</v>
      </c>
      <c r="C107" t="s">
        <v>148</v>
      </c>
      <c r="D107" s="3" t="s">
        <v>15</v>
      </c>
      <c r="E107" t="s">
        <v>49</v>
      </c>
      <c r="F107" s="3" t="s">
        <v>17</v>
      </c>
      <c r="G107" s="3" t="str">
        <f>IF(ISBLANK(Exit_Data[[#This Row],[Exit Date]]),"Active","Inactive")</f>
        <v>Active</v>
      </c>
      <c r="H107" s="5">
        <v>44907</v>
      </c>
      <c r="I107" s="5"/>
      <c r="K107" s="3"/>
      <c r="L107" t="s">
        <v>18</v>
      </c>
      <c r="M107" s="6">
        <f ca="1">(TODAY()-Exit_Data[[#This Row],[DOJ]])/365.25</f>
        <v>3.5537303216974676</v>
      </c>
      <c r="N107" t="str">
        <f ca="1">_xlfn.IFS(Exit_Data[[#This Row],[Tenure]]&gt;9,"9+ Yrs",Exit_Data[[#This Row],[Tenure]]&gt;6,"6 to 9 Yrs",Exit_Data[[#This Row],[Tenure]]&gt;3,"3 to 6 Yrs",Exit_Data[[#This Row],[Tenure]]&gt;1,"1 to 3 Yrs",Exit_Data[[#This Row],[Tenure]]&gt;0,"0 to 1 Yr")</f>
        <v>3 to 6 Yrs</v>
      </c>
    </row>
    <row r="108" spans="1:14">
      <c r="A108" s="2">
        <v>107</v>
      </c>
      <c r="B108" s="2">
        <v>10210</v>
      </c>
      <c r="C108" t="s">
        <v>149</v>
      </c>
      <c r="D108" s="3" t="s">
        <v>20</v>
      </c>
      <c r="E108" t="s">
        <v>21</v>
      </c>
      <c r="F108" s="3" t="s">
        <v>25</v>
      </c>
      <c r="G108" s="3" t="str">
        <f>IF(ISBLANK(Exit_Data[[#This Row],[Exit Date]]),"Active","Inactive")</f>
        <v>Inactive</v>
      </c>
      <c r="H108" s="5">
        <v>45527</v>
      </c>
      <c r="I108" s="5">
        <v>45765</v>
      </c>
      <c r="J108" s="5" t="s">
        <v>34</v>
      </c>
      <c r="K108" s="3" t="s">
        <v>35</v>
      </c>
      <c r="L108" t="s">
        <v>62</v>
      </c>
      <c r="M108" s="6">
        <f ca="1">(TODAY()-Exit_Data[[#This Row],[DOJ]])/365.25</f>
        <v>1.8562628336755647</v>
      </c>
      <c r="N108" t="str">
        <f ca="1">_xlfn.IFS(Exit_Data[[#This Row],[Tenure]]&gt;9,"9+ Yrs",Exit_Data[[#This Row],[Tenure]]&gt;6,"6 to 9 Yrs",Exit_Data[[#This Row],[Tenure]]&gt;3,"3 to 6 Yrs",Exit_Data[[#This Row],[Tenure]]&gt;1,"1 to 3 Yrs",Exit_Data[[#This Row],[Tenure]]&gt;0,"0 to 1 Yr")</f>
        <v>1 to 3 Yrs</v>
      </c>
    </row>
    <row r="109" spans="1:14">
      <c r="A109" s="2">
        <v>108</v>
      </c>
      <c r="B109" s="2">
        <v>10211</v>
      </c>
      <c r="C109" t="s">
        <v>150</v>
      </c>
      <c r="D109" s="3" t="s">
        <v>15</v>
      </c>
      <c r="E109" t="s">
        <v>16</v>
      </c>
      <c r="F109" s="3" t="s">
        <v>22</v>
      </c>
      <c r="G109" s="3" t="str">
        <f>IF(ISBLANK(Exit_Data[[#This Row],[Exit Date]]),"Active","Inactive")</f>
        <v>Inactive</v>
      </c>
      <c r="H109" s="5">
        <v>45601</v>
      </c>
      <c r="I109" s="5">
        <v>45814</v>
      </c>
      <c r="J109" s="5" t="s">
        <v>34</v>
      </c>
      <c r="K109" s="3" t="s">
        <v>129</v>
      </c>
      <c r="L109" t="s">
        <v>23</v>
      </c>
      <c r="M109" s="6">
        <f ca="1">(TODAY()-Exit_Data[[#This Row],[DOJ]])/365.25</f>
        <v>1.6536618754277892</v>
      </c>
      <c r="N109" t="str">
        <f ca="1">_xlfn.IFS(Exit_Data[[#This Row],[Tenure]]&gt;9,"9+ Yrs",Exit_Data[[#This Row],[Tenure]]&gt;6,"6 to 9 Yrs",Exit_Data[[#This Row],[Tenure]]&gt;3,"3 to 6 Yrs",Exit_Data[[#This Row],[Tenure]]&gt;1,"1 to 3 Yrs",Exit_Data[[#This Row],[Tenure]]&gt;0,"0 to 1 Yr")</f>
        <v>1 to 3 Yrs</v>
      </c>
    </row>
    <row r="110" spans="1:14">
      <c r="A110" s="2">
        <v>109</v>
      </c>
      <c r="B110" s="2">
        <v>10212</v>
      </c>
      <c r="C110" t="s">
        <v>151</v>
      </c>
      <c r="D110" s="3" t="s">
        <v>15</v>
      </c>
      <c r="E110" t="s">
        <v>32</v>
      </c>
      <c r="F110" s="3" t="s">
        <v>28</v>
      </c>
      <c r="G110" s="3" t="str">
        <f>IF(ISBLANK(Exit_Data[[#This Row],[Exit Date]]),"Active","Inactive")</f>
        <v>Active</v>
      </c>
      <c r="H110" s="5">
        <v>43844</v>
      </c>
      <c r="I110" s="5"/>
      <c r="K110" s="3"/>
      <c r="L110" t="s">
        <v>51</v>
      </c>
      <c r="M110" s="6">
        <f ca="1">(TODAY()-Exit_Data[[#This Row],[DOJ]])/365.25</f>
        <v>6.4640657084188913</v>
      </c>
      <c r="N110" t="str">
        <f ca="1">_xlfn.IFS(Exit_Data[[#This Row],[Tenure]]&gt;9,"9+ Yrs",Exit_Data[[#This Row],[Tenure]]&gt;6,"6 to 9 Yrs",Exit_Data[[#This Row],[Tenure]]&gt;3,"3 to 6 Yrs",Exit_Data[[#This Row],[Tenure]]&gt;1,"1 to 3 Yrs",Exit_Data[[#This Row],[Tenure]]&gt;0,"0 to 1 Yr")</f>
        <v>6 to 9 Yrs</v>
      </c>
    </row>
    <row r="111" spans="1:14">
      <c r="A111" s="2">
        <v>110</v>
      </c>
      <c r="B111" s="2">
        <v>10213</v>
      </c>
      <c r="C111" t="s">
        <v>152</v>
      </c>
      <c r="D111" s="3" t="s">
        <v>15</v>
      </c>
      <c r="E111" t="s">
        <v>16</v>
      </c>
      <c r="F111" s="3" t="s">
        <v>22</v>
      </c>
      <c r="G111" s="3" t="str">
        <f>IF(ISBLANK(Exit_Data[[#This Row],[Exit Date]]),"Active","Inactive")</f>
        <v>Inactive</v>
      </c>
      <c r="H111" s="5">
        <v>44740</v>
      </c>
      <c r="I111" s="5">
        <v>46001</v>
      </c>
      <c r="J111" s="5" t="s">
        <v>34</v>
      </c>
      <c r="K111" s="3" t="s">
        <v>72</v>
      </c>
      <c r="L111" t="s">
        <v>23</v>
      </c>
      <c r="M111" s="6">
        <f ca="1">(TODAY()-Exit_Data[[#This Row],[DOJ]])/365.25</f>
        <v>4.0109514031485283</v>
      </c>
      <c r="N111" t="str">
        <f ca="1">_xlfn.IFS(Exit_Data[[#This Row],[Tenure]]&gt;9,"9+ Yrs",Exit_Data[[#This Row],[Tenure]]&gt;6,"6 to 9 Yrs",Exit_Data[[#This Row],[Tenure]]&gt;3,"3 to 6 Yrs",Exit_Data[[#This Row],[Tenure]]&gt;1,"1 to 3 Yrs",Exit_Data[[#This Row],[Tenure]]&gt;0,"0 to 1 Yr")</f>
        <v>3 to 6 Yrs</v>
      </c>
    </row>
    <row r="112" spans="1:14">
      <c r="A112" s="2">
        <v>111</v>
      </c>
      <c r="B112" s="2">
        <v>10214</v>
      </c>
      <c r="C112" t="s">
        <v>153</v>
      </c>
      <c r="D112" s="3" t="s">
        <v>15</v>
      </c>
      <c r="E112" t="s">
        <v>21</v>
      </c>
      <c r="F112" s="3" t="s">
        <v>25</v>
      </c>
      <c r="G112" s="3" t="str">
        <f>IF(ISBLANK(Exit_Data[[#This Row],[Exit Date]]),"Active","Inactive")</f>
        <v>Active</v>
      </c>
      <c r="H112" s="5">
        <v>44264</v>
      </c>
      <c r="I112" s="5"/>
      <c r="K112" s="3"/>
      <c r="L112" t="s">
        <v>59</v>
      </c>
      <c r="M112" s="6">
        <f ca="1">(TODAY()-Exit_Data[[#This Row],[DOJ]])/365.25</f>
        <v>5.3141683778234086</v>
      </c>
      <c r="N112" t="str">
        <f ca="1">_xlfn.IFS(Exit_Data[[#This Row],[Tenure]]&gt;9,"9+ Yrs",Exit_Data[[#This Row],[Tenure]]&gt;6,"6 to 9 Yrs",Exit_Data[[#This Row],[Tenure]]&gt;3,"3 to 6 Yrs",Exit_Data[[#This Row],[Tenure]]&gt;1,"1 to 3 Yrs",Exit_Data[[#This Row],[Tenure]]&gt;0,"0 to 1 Yr")</f>
        <v>3 to 6 Yrs</v>
      </c>
    </row>
    <row r="113" spans="1:14">
      <c r="A113" s="2">
        <v>112</v>
      </c>
      <c r="B113" s="2">
        <v>10215</v>
      </c>
      <c r="C113" t="s">
        <v>154</v>
      </c>
      <c r="D113" s="3" t="s">
        <v>15</v>
      </c>
      <c r="E113" t="s">
        <v>49</v>
      </c>
      <c r="F113" s="3" t="s">
        <v>17</v>
      </c>
      <c r="G113" s="3" t="str">
        <f>IF(ISBLANK(Exit_Data[[#This Row],[Exit Date]]),"Active","Inactive")</f>
        <v>Active</v>
      </c>
      <c r="H113" s="5">
        <v>45124</v>
      </c>
      <c r="I113" s="5"/>
      <c r="K113" s="3"/>
      <c r="L113" t="s">
        <v>18</v>
      </c>
      <c r="M113" s="6">
        <f ca="1">(TODAY()-Exit_Data[[#This Row],[DOJ]])/365.25</f>
        <v>2.9596167008898013</v>
      </c>
      <c r="N113" t="str">
        <f ca="1">_xlfn.IFS(Exit_Data[[#This Row],[Tenure]]&gt;9,"9+ Yrs",Exit_Data[[#This Row],[Tenure]]&gt;6,"6 to 9 Yrs",Exit_Data[[#This Row],[Tenure]]&gt;3,"3 to 6 Yrs",Exit_Data[[#This Row],[Tenure]]&gt;1,"1 to 3 Yrs",Exit_Data[[#This Row],[Tenure]]&gt;0,"0 to 1 Yr")</f>
        <v>1 to 3 Yrs</v>
      </c>
    </row>
    <row r="114" spans="1:14">
      <c r="A114" s="2">
        <v>113</v>
      </c>
      <c r="B114" s="2">
        <v>10216</v>
      </c>
      <c r="C114" t="s">
        <v>155</v>
      </c>
      <c r="D114" s="3" t="s">
        <v>15</v>
      </c>
      <c r="E114" t="s">
        <v>41</v>
      </c>
      <c r="F114" s="3" t="s">
        <v>22</v>
      </c>
      <c r="G114" s="3" t="str">
        <f>IF(ISBLANK(Exit_Data[[#This Row],[Exit Date]]),"Active","Inactive")</f>
        <v>Active</v>
      </c>
      <c r="H114" s="5">
        <v>44130</v>
      </c>
      <c r="I114" s="5"/>
      <c r="K114" s="3"/>
      <c r="L114" t="s">
        <v>23</v>
      </c>
      <c r="M114" s="6">
        <f ca="1">(TODAY()-Exit_Data[[#This Row],[DOJ]])/365.25</f>
        <v>5.6810403832991101</v>
      </c>
      <c r="N114" t="str">
        <f ca="1">_xlfn.IFS(Exit_Data[[#This Row],[Tenure]]&gt;9,"9+ Yrs",Exit_Data[[#This Row],[Tenure]]&gt;6,"6 to 9 Yrs",Exit_Data[[#This Row],[Tenure]]&gt;3,"3 to 6 Yrs",Exit_Data[[#This Row],[Tenure]]&gt;1,"1 to 3 Yrs",Exit_Data[[#This Row],[Tenure]]&gt;0,"0 to 1 Yr")</f>
        <v>3 to 6 Yrs</v>
      </c>
    </row>
    <row r="115" spans="1:14">
      <c r="A115" s="2">
        <v>114</v>
      </c>
      <c r="B115" s="2">
        <v>10217</v>
      </c>
      <c r="C115" t="s">
        <v>156</v>
      </c>
      <c r="D115" s="3" t="s">
        <v>15</v>
      </c>
      <c r="E115" t="s">
        <v>32</v>
      </c>
      <c r="F115" s="3" t="s">
        <v>22</v>
      </c>
      <c r="G115" s="3" t="str">
        <f>IF(ISBLANK(Exit_Data[[#This Row],[Exit Date]]),"Active","Inactive")</f>
        <v>Active</v>
      </c>
      <c r="H115" s="5">
        <v>44655</v>
      </c>
      <c r="I115" s="5"/>
      <c r="K115" s="3"/>
      <c r="L115" t="s">
        <v>23</v>
      </c>
      <c r="M115" s="6">
        <f ca="1">(TODAY()-Exit_Data[[#This Row],[DOJ]])/365.25</f>
        <v>4.2436687200547567</v>
      </c>
      <c r="N115" t="str">
        <f ca="1">_xlfn.IFS(Exit_Data[[#This Row],[Tenure]]&gt;9,"9+ Yrs",Exit_Data[[#This Row],[Tenure]]&gt;6,"6 to 9 Yrs",Exit_Data[[#This Row],[Tenure]]&gt;3,"3 to 6 Yrs",Exit_Data[[#This Row],[Tenure]]&gt;1,"1 to 3 Yrs",Exit_Data[[#This Row],[Tenure]]&gt;0,"0 to 1 Yr")</f>
        <v>3 to 6 Yrs</v>
      </c>
    </row>
    <row r="116" spans="1:14">
      <c r="A116" s="2">
        <v>115</v>
      </c>
      <c r="B116" s="2">
        <v>10218</v>
      </c>
      <c r="C116" t="s">
        <v>157</v>
      </c>
      <c r="D116" s="3" t="s">
        <v>20</v>
      </c>
      <c r="E116" t="s">
        <v>32</v>
      </c>
      <c r="F116" s="3" t="s">
        <v>28</v>
      </c>
      <c r="G116" s="3" t="str">
        <f>IF(ISBLANK(Exit_Data[[#This Row],[Exit Date]]),"Active","Inactive")</f>
        <v>Active</v>
      </c>
      <c r="H116" s="5">
        <v>44511</v>
      </c>
      <c r="I116" s="5"/>
      <c r="K116" s="3"/>
      <c r="L116" t="s">
        <v>29</v>
      </c>
      <c r="M116" s="6">
        <f ca="1">(TODAY()-Exit_Data[[#This Row],[DOJ]])/365.25</f>
        <v>4.6379192334017798</v>
      </c>
      <c r="N116" t="str">
        <f ca="1">_xlfn.IFS(Exit_Data[[#This Row],[Tenure]]&gt;9,"9+ Yrs",Exit_Data[[#This Row],[Tenure]]&gt;6,"6 to 9 Yrs",Exit_Data[[#This Row],[Tenure]]&gt;3,"3 to 6 Yrs",Exit_Data[[#This Row],[Tenure]]&gt;1,"1 to 3 Yrs",Exit_Data[[#This Row],[Tenure]]&gt;0,"0 to 1 Yr")</f>
        <v>3 to 6 Yrs</v>
      </c>
    </row>
    <row r="117" spans="1:14">
      <c r="A117" s="2">
        <v>116</v>
      </c>
      <c r="B117" s="2">
        <v>10219</v>
      </c>
      <c r="C117" t="s">
        <v>158</v>
      </c>
      <c r="D117" s="3" t="s">
        <v>20</v>
      </c>
      <c r="E117" t="s">
        <v>32</v>
      </c>
      <c r="F117" s="3" t="s">
        <v>28</v>
      </c>
      <c r="G117" s="3" t="str">
        <f>IF(ISBLANK(Exit_Data[[#This Row],[Exit Date]]),"Active","Inactive")</f>
        <v>Inactive</v>
      </c>
      <c r="H117" s="5">
        <v>43881</v>
      </c>
      <c r="I117" s="5">
        <v>45930</v>
      </c>
      <c r="J117" s="5" t="s">
        <v>34</v>
      </c>
      <c r="K117" s="3" t="s">
        <v>38</v>
      </c>
      <c r="L117" t="s">
        <v>29</v>
      </c>
      <c r="M117" s="6">
        <f ca="1">(TODAY()-Exit_Data[[#This Row],[DOJ]])/365.25</f>
        <v>6.362765229295003</v>
      </c>
      <c r="N117" t="str">
        <f ca="1">_xlfn.IFS(Exit_Data[[#This Row],[Tenure]]&gt;9,"9+ Yrs",Exit_Data[[#This Row],[Tenure]]&gt;6,"6 to 9 Yrs",Exit_Data[[#This Row],[Tenure]]&gt;3,"3 to 6 Yrs",Exit_Data[[#This Row],[Tenure]]&gt;1,"1 to 3 Yrs",Exit_Data[[#This Row],[Tenure]]&gt;0,"0 to 1 Yr")</f>
        <v>6 to 9 Yrs</v>
      </c>
    </row>
  </sheetData>
  <phoneticPr fontId="5"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4FE5DE88-1264-4DAC-BE9E-53D6719E290B}">
  <ds:schemaRefs>
    <ds:schemaRef ds:uri="http://gemini/pivotcustomization/30b749d6-f406-4a57-88df-dd5181f5d6a4"/>
  </ds:schemaRefs>
</ds:datastoreItem>
</file>

<file path=customXml/itemProps2.xml><?xml version="1.0" encoding="utf-8"?>
<ds:datastoreItem xmlns:ds="http://schemas.openxmlformats.org/officeDocument/2006/customXml" ds:itemID="{74F29188-3968-40D2-882A-29F7220E7081}">
  <ds:schemaRefs>
    <ds:schemaRef ds:uri="http://gemini/pivotcustomization/FormulaBarState"/>
  </ds:schemaRefs>
</ds:datastoreItem>
</file>

<file path=customXml/itemProps3.xml><?xml version="1.0" encoding="utf-8"?>
<ds:datastoreItem xmlns:ds="http://schemas.openxmlformats.org/officeDocument/2006/customXml" ds:itemID="{225E86F6-B778-4FBD-BDFE-17A3436C5D70}">
  <ds:schemaRefs>
    <ds:schemaRef ds:uri="http://gemini/pivotcustomization/TableXML_Table1"/>
  </ds:schemaRefs>
</ds:datastoreItem>
</file>

<file path=customXml/itemProps4.xml><?xml version="1.0" encoding="utf-8"?>
<ds:datastoreItem xmlns:ds="http://schemas.openxmlformats.org/officeDocument/2006/customXml" ds:itemID="{72248282-AD71-4482-AB95-B1730C6ADB60}">
  <ds:schemaRefs/>
</ds:datastoreItem>
</file>

<file path=customXml/itemProps5.xml><?xml version="1.0" encoding="utf-8"?>
<ds:datastoreItem xmlns:ds="http://schemas.openxmlformats.org/officeDocument/2006/customXml" ds:itemID="{8D1F20CC-A248-4878-9C9E-7BDD84628792}">
  <ds:schemaRefs/>
</ds:datastoreItem>
</file>

<file path=customXml/itemProps6.xml><?xml version="1.0" encoding="utf-8"?>
<ds:datastoreItem xmlns:ds="http://schemas.openxmlformats.org/officeDocument/2006/customXml" ds:itemID="{476FCE78-1C5A-4CCF-A896-4D70543ADB4C}">
  <ds:schemaRefs/>
</ds:datastoreItem>
</file>

<file path=customXml/itemProps7.xml><?xml version="1.0" encoding="utf-8"?>
<ds:datastoreItem xmlns:ds="http://schemas.openxmlformats.org/officeDocument/2006/customXml" ds:itemID="{3FEB9484-B653-405F-9574-DE3ED8C9F022}">
  <ds:schemaRefs>
    <ds:schemaRef ds:uri="http://gemini/pivotcustomization/b4ae291d-d577-4a0e-8b05-9b7b6b65d291"/>
  </ds:schemaRefs>
</ds:datastoreItem>
</file>

<file path=customXml/itemProps8.xml><?xml version="1.0" encoding="utf-8"?>
<ds:datastoreItem xmlns:ds="http://schemas.openxmlformats.org/officeDocument/2006/customXml" ds:itemID="{5FAEACB9-4B9F-49A5-97AE-3A681A1B081D}">
  <ds:schemaRefs>
    <ds:schemaRef ds:uri="http://gemini/pivotcustomization/575b01e5-1fa7-410f-9ab3-ac9a13a752c0"/>
  </ds:schemaRefs>
</ds:datastoreItem>
</file>

<file path=customXml/itemProps9.xml><?xml version="1.0" encoding="utf-8"?>
<ds:datastoreItem xmlns:ds="http://schemas.openxmlformats.org/officeDocument/2006/customXml" ds:itemID="{FDBB628A-2BE5-479A-93D0-678D9866F114}">
  <ds:schemaRefs>
    <ds:schemaRef ds:uri="http://gemini/pivotcustomization/e15c184f-1a01-4d5c-8673-dc39c9d2e85a"/>
  </ds:schemaRefs>
</ds:datastoreItem>
</file>

<file path=customXml/itemProps10.xml><?xml version="1.0" encoding="utf-8"?>
<ds:datastoreItem xmlns:ds="http://schemas.openxmlformats.org/officeDocument/2006/customXml" ds:itemID="{F1DCB400-227D-461D-9BFA-B0083750B5FD}">
  <ds:schemaRefs>
    <ds:schemaRef ds:uri="http://gemini/pivotcustomization/ManualCalcMode"/>
  </ds:schemaRefs>
</ds:datastoreItem>
</file>

<file path=customXml/itemProps11.xml><?xml version="1.0" encoding="utf-8"?>
<ds:datastoreItem xmlns:ds="http://schemas.openxmlformats.org/officeDocument/2006/customXml" ds:itemID="{BCC5D1C2-09BD-40DD-B803-5AF80ACB5856}">
  <ds:schemaRefs>
    <ds:schemaRef ds:uri="http://gemini/pivotcustomization/f6cc963b-2b50-4716-860d-0969fcb0c7ba"/>
  </ds:schemaRefs>
</ds:datastoreItem>
</file>

<file path=customXml/itemProps12.xml><?xml version="1.0" encoding="utf-8"?>
<ds:datastoreItem xmlns:ds="http://schemas.openxmlformats.org/officeDocument/2006/customXml" ds:itemID="{50A2493A-B75D-4388-974D-ED918BFFB04E}">
  <ds:schemaRefs/>
</ds:datastoreItem>
</file>

<file path=customXml/itemProps13.xml><?xml version="1.0" encoding="utf-8"?>
<ds:datastoreItem xmlns:ds="http://schemas.openxmlformats.org/officeDocument/2006/customXml" ds:itemID="{9343F730-9B0D-4EA4-8C74-CBBC7230B2CC}">
  <ds:schemaRefs/>
</ds:datastoreItem>
</file>

<file path=customXml/itemProps14.xml><?xml version="1.0" encoding="utf-8"?>
<ds:datastoreItem xmlns:ds="http://schemas.openxmlformats.org/officeDocument/2006/customXml" ds:itemID="{3B44B9AE-C243-417B-A093-7B11536BB850}">
  <ds:schemaRefs>
    <ds:schemaRef ds:uri="http://gemini/pivotcustomization/e19c269f-bc2d-4cb3-b165-3c05d0ab875b"/>
  </ds:schemaRefs>
</ds:datastoreItem>
</file>

<file path=customXml/itemProps15.xml><?xml version="1.0" encoding="utf-8"?>
<ds:datastoreItem xmlns:ds="http://schemas.openxmlformats.org/officeDocument/2006/customXml" ds:itemID="{A24D0B3C-1DC0-4559-B092-5C9BEF1FCA30}">
  <ds:schemaRefs/>
</ds:datastoreItem>
</file>

<file path=customXml/itemProps16.xml><?xml version="1.0" encoding="utf-8"?>
<ds:datastoreItem xmlns:ds="http://schemas.openxmlformats.org/officeDocument/2006/customXml" ds:itemID="{E34E66FB-B867-4A8C-B97C-F876B1A95016}">
  <ds:schemaRefs/>
</ds:datastoreItem>
</file>

<file path=customXml/itemProps17.xml><?xml version="1.0" encoding="utf-8"?>
<ds:datastoreItem xmlns:ds="http://schemas.openxmlformats.org/officeDocument/2006/customXml" ds:itemID="{2F9BBED9-84E0-4AB5-8B20-EDF9539FBCB1}">
  <ds:schemaRefs>
    <ds:schemaRef ds:uri="http://gemini/pivotcustomization/1f1858b5-8504-40a1-9716-2f2cb49a4e0d"/>
  </ds:schemaRefs>
</ds:datastoreItem>
</file>

<file path=customXml/itemProps18.xml><?xml version="1.0" encoding="utf-8"?>
<ds:datastoreItem xmlns:ds="http://schemas.openxmlformats.org/officeDocument/2006/customXml" ds:itemID="{508B7708-12A1-41CE-8338-FEE00A006B31}">
  <ds:schemaRefs>
    <ds:schemaRef ds:uri="http://gemini/pivotcustomization/ShowHidden"/>
  </ds:schemaRefs>
</ds:datastoreItem>
</file>

<file path=customXml/itemProps19.xml><?xml version="1.0" encoding="utf-8"?>
<ds:datastoreItem xmlns:ds="http://schemas.openxmlformats.org/officeDocument/2006/customXml" ds:itemID="{69624FF6-3CBC-49AD-8F0B-25C04867891B}">
  <ds:schemaRefs>
    <ds:schemaRef ds:uri="http://gemini/pivotcustomization/ShowImplicitMeasures"/>
  </ds:schemaRefs>
</ds:datastoreItem>
</file>

<file path=customXml/itemProps20.xml><?xml version="1.0" encoding="utf-8"?>
<ds:datastoreItem xmlns:ds="http://schemas.openxmlformats.org/officeDocument/2006/customXml" ds:itemID="{08185839-575B-41B6-A097-6C856A62A9D5}">
  <ds:schemaRefs/>
</ds:datastoreItem>
</file>

<file path=customXml/itemProps21.xml><?xml version="1.0" encoding="utf-8"?>
<ds:datastoreItem xmlns:ds="http://schemas.openxmlformats.org/officeDocument/2006/customXml" ds:itemID="{CEE11AAE-BAC5-4788-B25E-F026225679B8}">
  <ds:schemaRefs/>
</ds:datastoreItem>
</file>

<file path=customXml/itemProps22.xml><?xml version="1.0" encoding="utf-8"?>
<ds:datastoreItem xmlns:ds="http://schemas.openxmlformats.org/officeDocument/2006/customXml" ds:itemID="{D99EA077-89A7-4F67-A3A5-89C1B07CBE67}">
  <ds:schemaRefs/>
</ds:datastoreItem>
</file>

<file path=customXml/itemProps23.xml><?xml version="1.0" encoding="utf-8"?>
<ds:datastoreItem xmlns:ds="http://schemas.openxmlformats.org/officeDocument/2006/customXml" ds:itemID="{C8E77690-99D8-4687-B9EA-5C0470B18E3C}">
  <ds:schemaRefs>
    <ds:schemaRef ds:uri="http://gemini/pivotcustomization/e69f747a-e628-4568-80d2-b3097f554f4d"/>
  </ds:schemaRefs>
</ds:datastoreItem>
</file>

<file path=customXml/itemProps24.xml><?xml version="1.0" encoding="utf-8"?>
<ds:datastoreItem xmlns:ds="http://schemas.openxmlformats.org/officeDocument/2006/customXml" ds:itemID="{F3CDC4BE-457C-4ADB-AC7A-5CF74D035D1A}">
  <ds:schemaRefs>
    <ds:schemaRef ds:uri="http://gemini/pivotcustomization/LinkedTableUpdateMode"/>
  </ds:schemaRefs>
</ds:datastoreItem>
</file>

<file path=customXml/itemProps25.xml><?xml version="1.0" encoding="utf-8"?>
<ds:datastoreItem xmlns:ds="http://schemas.openxmlformats.org/officeDocument/2006/customXml" ds:itemID="{BB4C4FEF-F9E6-4B77-9DF7-A21360EF75C4}">
  <ds:schemaRefs>
    <ds:schemaRef ds:uri="http://gemini/pivotcustomization/d0833ef6-40c3-4ec0-a385-bf0e19cf5a09"/>
  </ds:schemaRefs>
</ds:datastoreItem>
</file>

<file path=customXml/itemProps26.xml><?xml version="1.0" encoding="utf-8"?>
<ds:datastoreItem xmlns:ds="http://schemas.openxmlformats.org/officeDocument/2006/customXml" ds:itemID="{3B1556D1-6524-46F0-A019-501FA71BE51C}">
  <ds:schemaRefs/>
</ds:datastoreItem>
</file>

<file path=customXml/itemProps27.xml><?xml version="1.0" encoding="utf-8"?>
<ds:datastoreItem xmlns:ds="http://schemas.openxmlformats.org/officeDocument/2006/customXml" ds:itemID="{22533CC2-91D8-4F75-9177-DC7D229447B3}">
  <ds:schemaRefs/>
</ds:datastoreItem>
</file>

<file path=customXml/itemProps28.xml><?xml version="1.0" encoding="utf-8"?>
<ds:datastoreItem xmlns:ds="http://schemas.openxmlformats.org/officeDocument/2006/customXml" ds:itemID="{E05CECDD-8380-4A15-ACC6-88CBC803A39A}">
  <ds:schemaRefs/>
</ds:datastoreItem>
</file>

<file path=customXml/itemProps29.xml><?xml version="1.0" encoding="utf-8"?>
<ds:datastoreItem xmlns:ds="http://schemas.openxmlformats.org/officeDocument/2006/customXml" ds:itemID="{98B77389-DC41-4955-927F-697242BBF635}">
  <ds:schemaRefs>
    <ds:schemaRef ds:uri="http://gemini/pivotcustomization/31232f61-2a3c-4b60-a829-7cf2f34a7d83"/>
  </ds:schemaRefs>
</ds:datastoreItem>
</file>

<file path=customXml/itemProps30.xml><?xml version="1.0" encoding="utf-8"?>
<ds:datastoreItem xmlns:ds="http://schemas.openxmlformats.org/officeDocument/2006/customXml" ds:itemID="{73523A5C-01BA-4942-A2F7-73553088232D}">
  <ds:schemaRefs>
    <ds:schemaRef ds:uri="http://gemini/pivotcustomization/abe41db4-4cef-4171-b388-59ec44e8637d"/>
  </ds:schemaRefs>
</ds:datastoreItem>
</file>

<file path=customXml/itemProps31.xml><?xml version="1.0" encoding="utf-8"?>
<ds:datastoreItem xmlns:ds="http://schemas.openxmlformats.org/officeDocument/2006/customXml" ds:itemID="{F6D8EC6E-FABA-4FC7-AACF-65F894ABB02C}">
  <ds:schemaRefs>
    <ds:schemaRef ds:uri="http://gemini/pivotcustomization/TableXML_Calendar"/>
  </ds:schemaRefs>
</ds:datastoreItem>
</file>

<file path=customXml/itemProps32.xml><?xml version="1.0" encoding="utf-8"?>
<ds:datastoreItem xmlns:ds="http://schemas.openxmlformats.org/officeDocument/2006/customXml" ds:itemID="{DC25C75D-9639-49BD-8CB3-4235D2087AC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CALCULATION 1</vt:lpstr>
      <vt:lpstr>CALCULATION 2</vt:lpstr>
      <vt:lpstr>CALCULATION 0</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ANTISH</dc:creator>
  <cp:keywords/>
  <dc:description/>
  <cp:lastModifiedBy>kondarelddy l</cp:lastModifiedBy>
  <cp:revision/>
  <dcterms:created xsi:type="dcterms:W3CDTF">2015-06-05T18:17:20Z</dcterms:created>
  <dcterms:modified xsi:type="dcterms:W3CDTF">2026-07-02T04:10:17Z</dcterms:modified>
  <cp:category/>
  <cp:contentStatus/>
</cp:coreProperties>
</file>